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Projects\personal-web-portfolio\Finance\1. Comparable Company Analysis\"/>
    </mc:Choice>
  </mc:AlternateContent>
  <xr:revisionPtr revIDLastSave="0" documentId="13_ncr:1_{4304C323-8F13-41C7-AEC9-6D2570037348}" xr6:coauthVersionLast="47" xr6:coauthVersionMax="47" xr10:uidLastSave="{00000000-0000-0000-0000-000000000000}"/>
  <bookViews>
    <workbookView xWindow="-110" yWindow="-110" windowWidth="19420" windowHeight="10300" xr2:uid="{00000000-000D-0000-FFFF-FFFF00000000}"/>
  </bookViews>
  <sheets>
    <sheet name="README" sheetId="1" r:id="rId1"/>
    <sheet name="Summary" sheetId="2" r:id="rId2"/>
    <sheet name="AMZN" sheetId="3" r:id="rId3"/>
    <sheet name="MSFT" sheetId="4" r:id="rId4"/>
    <sheet name="NVDA" sheetId="5" r:id="rId5"/>
    <sheet name="GOOGL" sheetId="6" r:id="rId6"/>
    <sheet name="META" sheetId="7" r:id="rId7"/>
    <sheet name="AAPL" sheetId="8" r:id="rId8"/>
    <sheet name="AVGO" sheetId="9" r:id="rId9"/>
    <sheet name="NOW"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9" i="10" l="1"/>
  <c r="B77" i="10"/>
  <c r="B74" i="10"/>
  <c r="B70" i="10"/>
  <c r="B66" i="10"/>
  <c r="B65" i="10"/>
  <c r="B64" i="10"/>
  <c r="B59" i="10"/>
  <c r="B60" i="10" s="1"/>
  <c r="B58" i="10"/>
  <c r="B56" i="10"/>
  <c r="B52" i="10"/>
  <c r="B49" i="10"/>
  <c r="B44" i="10"/>
  <c r="B38" i="10"/>
  <c r="B31" i="10"/>
  <c r="B21" i="10"/>
  <c r="B16" i="10"/>
  <c r="B14" i="10"/>
  <c r="B10" i="10"/>
  <c r="B13" i="10" s="1"/>
  <c r="B79" i="9"/>
  <c r="B77" i="9"/>
  <c r="B74" i="9"/>
  <c r="B70" i="9"/>
  <c r="B66" i="9"/>
  <c r="B65" i="9"/>
  <c r="B64" i="9"/>
  <c r="B59" i="9"/>
  <c r="B58" i="9"/>
  <c r="O10" i="2" s="1"/>
  <c r="B56" i="9"/>
  <c r="B52" i="9"/>
  <c r="B49" i="9"/>
  <c r="B44" i="9"/>
  <c r="B38" i="9"/>
  <c r="B31" i="9"/>
  <c r="B21" i="9"/>
  <c r="B16" i="9"/>
  <c r="B14" i="9"/>
  <c r="B13" i="9"/>
  <c r="B79" i="8"/>
  <c r="B77" i="8"/>
  <c r="B74" i="8"/>
  <c r="B70" i="8"/>
  <c r="B66" i="8"/>
  <c r="B65" i="8"/>
  <c r="B64" i="8"/>
  <c r="B59" i="8"/>
  <c r="B58" i="8"/>
  <c r="B60" i="8" s="1"/>
  <c r="B56" i="8"/>
  <c r="B52" i="8"/>
  <c r="B49" i="8"/>
  <c r="B44" i="8"/>
  <c r="B38" i="8"/>
  <c r="B31" i="8"/>
  <c r="B21" i="8"/>
  <c r="B16" i="8"/>
  <c r="B14" i="8"/>
  <c r="B13" i="8"/>
  <c r="B79" i="7"/>
  <c r="B77" i="7"/>
  <c r="B74" i="7"/>
  <c r="B70" i="7"/>
  <c r="B66" i="7"/>
  <c r="B65" i="7"/>
  <c r="B64" i="7"/>
  <c r="B59" i="7"/>
  <c r="B58" i="7"/>
  <c r="B56" i="7"/>
  <c r="B52" i="7"/>
  <c r="B49" i="7"/>
  <c r="B44" i="7"/>
  <c r="B38" i="7"/>
  <c r="B31" i="7"/>
  <c r="B21" i="7"/>
  <c r="B16" i="7"/>
  <c r="B14" i="7"/>
  <c r="B10" i="7"/>
  <c r="B13" i="7" s="1"/>
  <c r="B8" i="7"/>
  <c r="B79" i="6"/>
  <c r="B77" i="6"/>
  <c r="B74" i="6"/>
  <c r="B70" i="6"/>
  <c r="B66" i="6"/>
  <c r="B65" i="6"/>
  <c r="B64" i="6"/>
  <c r="B59" i="6"/>
  <c r="B58" i="6"/>
  <c r="B60" i="6" s="1"/>
  <c r="B56" i="6"/>
  <c r="B52" i="6"/>
  <c r="B49" i="6"/>
  <c r="B44" i="6"/>
  <c r="B38" i="6"/>
  <c r="B31" i="6"/>
  <c r="B21" i="6"/>
  <c r="B16" i="6"/>
  <c r="B14" i="6"/>
  <c r="B10" i="6"/>
  <c r="B13" i="6" s="1"/>
  <c r="B8" i="6"/>
  <c r="B79" i="5"/>
  <c r="B77" i="5"/>
  <c r="B74" i="5"/>
  <c r="B70" i="5"/>
  <c r="B66" i="5"/>
  <c r="B65" i="5"/>
  <c r="B64" i="5"/>
  <c r="B67" i="5" s="1"/>
  <c r="B59" i="5"/>
  <c r="N6" i="2" s="1"/>
  <c r="B58" i="5"/>
  <c r="B60" i="5" s="1"/>
  <c r="B56" i="5"/>
  <c r="B52" i="5"/>
  <c r="B49" i="5"/>
  <c r="B44" i="5"/>
  <c r="B38" i="5"/>
  <c r="B31" i="5"/>
  <c r="B21" i="5"/>
  <c r="B16" i="5"/>
  <c r="B14" i="5"/>
  <c r="B13" i="5"/>
  <c r="B79" i="4"/>
  <c r="B77" i="4"/>
  <c r="B74" i="4"/>
  <c r="B70" i="4"/>
  <c r="B66" i="4"/>
  <c r="B65" i="4"/>
  <c r="B64" i="4"/>
  <c r="B60" i="4"/>
  <c r="B59" i="4"/>
  <c r="B58" i="4"/>
  <c r="B56" i="4"/>
  <c r="B52" i="4"/>
  <c r="B49" i="4"/>
  <c r="B44" i="4"/>
  <c r="B38" i="4"/>
  <c r="B31" i="4"/>
  <c r="H5" i="2" s="1"/>
  <c r="B21" i="4"/>
  <c r="B16" i="4"/>
  <c r="B14" i="4"/>
  <c r="B10" i="4"/>
  <c r="B13" i="4" s="1"/>
  <c r="B79" i="3"/>
  <c r="B77" i="3"/>
  <c r="B74" i="3"/>
  <c r="B70" i="3"/>
  <c r="B66" i="3"/>
  <c r="B65" i="3"/>
  <c r="B64" i="3"/>
  <c r="B59" i="3"/>
  <c r="B58" i="3"/>
  <c r="B60" i="3" s="1"/>
  <c r="B56" i="3"/>
  <c r="B53" i="3"/>
  <c r="B52" i="3"/>
  <c r="B49" i="3"/>
  <c r="B44" i="3"/>
  <c r="B38" i="3"/>
  <c r="B31" i="3"/>
  <c r="B21" i="3"/>
  <c r="B16" i="3"/>
  <c r="B14" i="3"/>
  <c r="B13" i="3"/>
  <c r="B10" i="3"/>
  <c r="B8" i="3"/>
  <c r="Q11" i="2"/>
  <c r="P11" i="2"/>
  <c r="O11" i="2"/>
  <c r="M11" i="2"/>
  <c r="L11" i="2"/>
  <c r="K11" i="2"/>
  <c r="J11" i="2"/>
  <c r="I11" i="2"/>
  <c r="H11" i="2"/>
  <c r="G11" i="2"/>
  <c r="F11" i="2"/>
  <c r="E11" i="2"/>
  <c r="Q10" i="2"/>
  <c r="P10" i="2"/>
  <c r="N10" i="2"/>
  <c r="M10" i="2"/>
  <c r="L10" i="2"/>
  <c r="K10" i="2"/>
  <c r="J10" i="2"/>
  <c r="I10" i="2"/>
  <c r="H10" i="2"/>
  <c r="G10" i="2"/>
  <c r="F10" i="2"/>
  <c r="E10" i="2"/>
  <c r="Q9" i="2"/>
  <c r="P9" i="2"/>
  <c r="O9" i="2"/>
  <c r="N9" i="2"/>
  <c r="M9" i="2"/>
  <c r="L9" i="2"/>
  <c r="K9" i="2"/>
  <c r="J9" i="2"/>
  <c r="I9" i="2"/>
  <c r="H9" i="2"/>
  <c r="G9" i="2"/>
  <c r="F9" i="2"/>
  <c r="E9" i="2"/>
  <c r="Q8" i="2"/>
  <c r="P8" i="2"/>
  <c r="O8" i="2"/>
  <c r="N8" i="2"/>
  <c r="M8" i="2"/>
  <c r="L8" i="2"/>
  <c r="K8" i="2"/>
  <c r="J8" i="2"/>
  <c r="I8" i="2"/>
  <c r="H8" i="2"/>
  <c r="G8" i="2"/>
  <c r="F8" i="2"/>
  <c r="E8" i="2"/>
  <c r="Q7" i="2"/>
  <c r="P7" i="2"/>
  <c r="N7" i="2"/>
  <c r="M7" i="2"/>
  <c r="L7" i="2"/>
  <c r="K7" i="2"/>
  <c r="J7" i="2"/>
  <c r="I7" i="2"/>
  <c r="H7" i="2"/>
  <c r="G7" i="2"/>
  <c r="F7" i="2"/>
  <c r="E7" i="2"/>
  <c r="Q6" i="2"/>
  <c r="P6" i="2"/>
  <c r="O6" i="2"/>
  <c r="M6" i="2"/>
  <c r="L6" i="2"/>
  <c r="K6" i="2"/>
  <c r="J6" i="2"/>
  <c r="I6" i="2"/>
  <c r="H6" i="2"/>
  <c r="G6" i="2"/>
  <c r="F6" i="2"/>
  <c r="E6" i="2"/>
  <c r="Q5" i="2"/>
  <c r="P5" i="2"/>
  <c r="O5" i="2"/>
  <c r="N5" i="2"/>
  <c r="M5" i="2"/>
  <c r="K5" i="2"/>
  <c r="J5" i="2"/>
  <c r="I5" i="2"/>
  <c r="G5" i="2"/>
  <c r="F5" i="2"/>
  <c r="E5" i="2"/>
  <c r="Q4" i="2"/>
  <c r="P4" i="2"/>
  <c r="O4" i="2"/>
  <c r="N4" i="2"/>
  <c r="M4" i="2"/>
  <c r="L4" i="2"/>
  <c r="K4" i="2"/>
  <c r="J4" i="2"/>
  <c r="I4" i="2"/>
  <c r="H4" i="2"/>
  <c r="G4" i="2"/>
  <c r="F4" i="2"/>
  <c r="E4" i="2"/>
  <c r="B67" i="4" l="1"/>
  <c r="B67" i="10"/>
  <c r="L5" i="2"/>
  <c r="N11" i="2"/>
  <c r="B67" i="6"/>
  <c r="B67" i="8"/>
  <c r="B60" i="7"/>
  <c r="B60" i="9"/>
  <c r="B67" i="7"/>
  <c r="B67" i="9"/>
  <c r="O7" i="2"/>
  <c r="B67" i="3"/>
</calcChain>
</file>

<file path=xl/sharedStrings.xml><?xml version="1.0" encoding="utf-8"?>
<sst xmlns="http://schemas.openxmlformats.org/spreadsheetml/2006/main" count="1267" uniqueCount="230">
  <si>
    <t>US technology comparable company set: financial statements</t>
  </si>
  <si>
    <t>Tested party: Amazon. Comparables: Microsoft, Nvidia, Alphabet, Meta Platforms, Apple, Broadcom, ServiceNow.</t>
  </si>
  <si>
    <t>Source</t>
  </si>
  <si>
    <t>U.S. SEC EDGAR XBRL 'company facts' data (data.sec.gov). Every reported figure is the value the company tagged in the Form 10-K listed below.</t>
  </si>
  <si>
    <t>Retrieved on 2026-10-13.</t>
  </si>
  <si>
    <t>How to read the company sheets</t>
  </si>
  <si>
    <t>Blue figures are reported values taken from the filing. Black figures are formulas calculated in this workbook.</t>
  </si>
  <si>
    <t>Column C names the XBRL tag behind each reported line, so any figure can be traced back to the filing.</t>
  </si>
  <si>
    <t>Lines marked '(residual)' are the difference between a reported total and the lines shown above it. They make each statement add up; they are not figures the company reports.</t>
  </si>
  <si>
    <t>The statements use one standard layout for all eight companies so they can be compared. They are not copies of each company's own statement layout.</t>
  </si>
  <si>
    <t>Points to keep in mind</t>
  </si>
  <si>
    <t>Fiscal years differ. The Summary sheet shows each company's own fiscal year, not calendar 2025. Calendarise before comparing multiples.</t>
  </si>
  <si>
    <t>Nvidia: the year shown ended 25 January 2026 (the company's fiscal 2026), because it covers 11 months of calendar 2025. Its fiscal 2025 ended 26 January 2025 and is mostly calendar 2024, so it is not used.</t>
  </si>
  <si>
    <t>Microsoft (June 2025): a newer 10-K for fiscal 2026 exists and is not used here.</t>
  </si>
  <si>
    <t>Amazon: fulfillment and technology and infrastructure expenses use company-specific tags that this source does not carry. Both sit inside 'Other operating expenses, net (residual)'.</t>
  </si>
  <si>
    <t>Nvidia: marketable securities are not available under a standard tag and sit inside 'Other current assets (residual)'. Its net debt here is therefore overstated.</t>
  </si>
  <si>
    <t>Alphabet: the D&amp;A line is depreciation of property and equipment only.</t>
  </si>
  <si>
    <t>Microsoft and Broadcom: D&amp;A is depreciation plus amortization of intangible assets as disclosed in the notes. Microsoft's two figures are rounded to the nearest USD billion.</t>
  </si>
  <si>
    <t>Total debt excludes lease liabilities. Where a company reports S&amp;M and G&amp;A separately, SG&amp;A is their sum.</t>
  </si>
  <si>
    <t>Filings used</t>
  </si>
  <si>
    <t>Company</t>
  </si>
  <si>
    <t>Ticker</t>
  </si>
  <si>
    <t>Fiscal year end</t>
  </si>
  <si>
    <t>Form 10-K on SEC EDGAR</t>
  </si>
  <si>
    <t>XBRL data used</t>
  </si>
  <si>
    <t>Amazon</t>
  </si>
  <si>
    <t>AMZN</t>
  </si>
  <si>
    <t>2025-12-31</t>
  </si>
  <si>
    <t>https://www.sec.gov/Archives/edgar/data/1018724/000101872426000004/</t>
  </si>
  <si>
    <t>https://data.sec.gov/api/xbrl/companyfacts/CIK0001018724.json</t>
  </si>
  <si>
    <t>Microsoft</t>
  </si>
  <si>
    <t>MSFT</t>
  </si>
  <si>
    <t>2025-06-30</t>
  </si>
  <si>
    <t>https://www.sec.gov/Archives/edgar/data/789019/000095017025100235/</t>
  </si>
  <si>
    <t>https://data.sec.gov/api/xbrl/companyfacts/CIK0000789019.json</t>
  </si>
  <si>
    <t>Nvidia</t>
  </si>
  <si>
    <t>NVDA</t>
  </si>
  <si>
    <t>2026-01-25</t>
  </si>
  <si>
    <t>https://www.sec.gov/Archives/edgar/data/1045810/000104581026000021/</t>
  </si>
  <si>
    <t>https://data.sec.gov/api/xbrl/companyfacts/CIK0001045810.json</t>
  </si>
  <si>
    <t>Alphabet</t>
  </si>
  <si>
    <t>GOOGL</t>
  </si>
  <si>
    <t>https://www.sec.gov/Archives/edgar/data/1652044/000165204426000018/</t>
  </si>
  <si>
    <t>https://data.sec.gov/api/xbrl/companyfacts/CIK0001652044.json</t>
  </si>
  <si>
    <t>Meta Platforms</t>
  </si>
  <si>
    <t>META</t>
  </si>
  <si>
    <t>https://www.sec.gov/Archives/edgar/data/1326801/000162828026003942/</t>
  </si>
  <si>
    <t>https://data.sec.gov/api/xbrl/companyfacts/CIK0001326801.json</t>
  </si>
  <si>
    <t>Apple</t>
  </si>
  <si>
    <t>AAPL</t>
  </si>
  <si>
    <t>2025-09-27</t>
  </si>
  <si>
    <t>https://www.sec.gov/Archives/edgar/data/320193/000032019325000079/</t>
  </si>
  <si>
    <t>https://data.sec.gov/api/xbrl/companyfacts/CIK0000320193.json</t>
  </si>
  <si>
    <t>Broadcom</t>
  </si>
  <si>
    <t>AVGO</t>
  </si>
  <si>
    <t>2025-11-02</t>
  </si>
  <si>
    <t>https://www.sec.gov/Archives/edgar/data/1730168/000173016825000121/</t>
  </si>
  <si>
    <t>https://data.sec.gov/api/xbrl/companyfacts/CIK0001730168.json</t>
  </si>
  <si>
    <t>ServiceNow</t>
  </si>
  <si>
    <t>NOW</t>
  </si>
  <si>
    <t>https://www.sec.gov/Archives/edgar/data/1373715/000137371526000007/</t>
  </si>
  <si>
    <t>https://data.sec.gov/api/xbrl/companyfacts/CIK0001373715.json</t>
  </si>
  <si>
    <t>US technology comparable set: fiscal year 2025, USD millions</t>
  </si>
  <si>
    <t>Role</t>
  </si>
  <si>
    <t>Revenue</t>
  </si>
  <si>
    <t>Gross profit</t>
  </si>
  <si>
    <t>Operating income</t>
  </si>
  <si>
    <t>EBITDA</t>
  </si>
  <si>
    <t>Net income</t>
  </si>
  <si>
    <t>Gross margin</t>
  </si>
  <si>
    <t>Operating margin</t>
  </si>
  <si>
    <t>EBITDA margin</t>
  </si>
  <si>
    <t>Net margin</t>
  </si>
  <si>
    <t>Cash and ST investments</t>
  </si>
  <si>
    <t>Total debt</t>
  </si>
  <si>
    <t>Total assets</t>
  </si>
  <si>
    <t>Total equity</t>
  </si>
  <si>
    <t>Tested party</t>
  </si>
  <si>
    <t>Comparable</t>
  </si>
  <si>
    <t>Amazon (AMZN)</t>
  </si>
  <si>
    <t>Form 10-K, accession 0001018724-26-000004. USD millions, except per-share data; shares in millions.</t>
  </si>
  <si>
    <t>Fiscal year ended</t>
  </si>
  <si>
    <t>Source (us-gaap XBRL tag)</t>
  </si>
  <si>
    <t>INCOME STATEMENT</t>
  </si>
  <si>
    <t>RevenueFromContractWithCustomerExcludingAssessedTax</t>
  </si>
  <si>
    <t>Cost of revenue</t>
  </si>
  <si>
    <t>CostOfGoodsAndServicesSold</t>
  </si>
  <si>
    <t>Calculated</t>
  </si>
  <si>
    <t>Research and development</t>
  </si>
  <si>
    <t>Not reported under a standard tag</t>
  </si>
  <si>
    <t>Selling, general and administrative</t>
  </si>
  <si>
    <t>of which: sales and marketing</t>
  </si>
  <si>
    <t>MarketingExpense</t>
  </si>
  <si>
    <t>of which: general and administrative</t>
  </si>
  <si>
    <t>GeneralAndAdministrativeExpense</t>
  </si>
  <si>
    <t>Other operating expenses, net (residual)</t>
  </si>
  <si>
    <t>Total costs and expenses</t>
  </si>
  <si>
    <t>OperatingIncomeLoss</t>
  </si>
  <si>
    <t>Non-operating income (expense), net</t>
  </si>
  <si>
    <t>of which: interest and investment income</t>
  </si>
  <si>
    <t>InvestmentIncomeInterest</t>
  </si>
  <si>
    <t>of which: interest expense</t>
  </si>
  <si>
    <t>InterestExpenseNonoperating</t>
  </si>
  <si>
    <t>Income before income taxes</t>
  </si>
  <si>
    <t>IncomeLossFromContinuingOperationsBeforeIncomeTaxesMinorityInterestAndIncomeLossFromEquityMethodInvestments</t>
  </si>
  <si>
    <t>Provision for income taxes</t>
  </si>
  <si>
    <t>IncomeTaxExpenseBenefit</t>
  </si>
  <si>
    <t>Equity-method, discontinued operations and other, net</t>
  </si>
  <si>
    <t>NetIncomeLoss</t>
  </si>
  <si>
    <t>EPS, basic (USD)</t>
  </si>
  <si>
    <t>EarningsPerShareBasic</t>
  </si>
  <si>
    <t>EPS, diluted (USD)</t>
  </si>
  <si>
    <t>EarningsPerShareDiluted</t>
  </si>
  <si>
    <t>Weighted average shares, basic</t>
  </si>
  <si>
    <t>WeightedAverageNumberOfSharesOutstandingBasic</t>
  </si>
  <si>
    <t>Weighted average shares, diluted</t>
  </si>
  <si>
    <t>WeightedAverageNumberOfDilutedSharesOutstanding</t>
  </si>
  <si>
    <t>Memo</t>
  </si>
  <si>
    <t>Depreciation and amortization</t>
  </si>
  <si>
    <t>DepreciationDepletionAndAmortization</t>
  </si>
  <si>
    <t>Amortization of intangible assets</t>
  </si>
  <si>
    <t>AmortizationOfIntangibleAssets</t>
  </si>
  <si>
    <t>Stock-based compensation</t>
  </si>
  <si>
    <t>ShareBasedCompensation</t>
  </si>
  <si>
    <t>EBITDA (operating income + D&amp;A)</t>
  </si>
  <si>
    <t>BALANCE SHEET</t>
  </si>
  <si>
    <t>Cash and cash equivalents</t>
  </si>
  <si>
    <t>CashAndCashEquivalentsAtCarryingValue</t>
  </si>
  <si>
    <t>Short-term investments / marketable securities</t>
  </si>
  <si>
    <t>MarketableSecuritiesCurrent</t>
  </si>
  <si>
    <t>Accounts receivable, net</t>
  </si>
  <si>
    <t>AccountsReceivableNetCurrent</t>
  </si>
  <si>
    <t>Inventories</t>
  </si>
  <si>
    <t>InventoryNet</t>
  </si>
  <si>
    <t>Other current assets (residual)</t>
  </si>
  <si>
    <t>Total current assets</t>
  </si>
  <si>
    <t>AssetsCurrent</t>
  </si>
  <si>
    <t>Property and equipment, net</t>
  </si>
  <si>
    <t>PropertyPlantAndEquipmentNet</t>
  </si>
  <si>
    <t>Operating lease right-of-use assets</t>
  </si>
  <si>
    <t>OperatingLeaseRightOfUseAsset</t>
  </si>
  <si>
    <t>Goodwill</t>
  </si>
  <si>
    <t>Intangible assets, net</t>
  </si>
  <si>
    <t>IntangibleAssetsNetExcludingGoodwill</t>
  </si>
  <si>
    <t>Other non-current assets (residual)</t>
  </si>
  <si>
    <t>Assets</t>
  </si>
  <si>
    <t>Accounts payable</t>
  </si>
  <si>
    <t>AccountsPayableCurrent</t>
  </si>
  <si>
    <t>Deferred / unearned revenue, current</t>
  </si>
  <si>
    <t>ContractWithCustomerLiabilityCurrent</t>
  </si>
  <si>
    <t>Short-term debt and current portion of long-term debt</t>
  </si>
  <si>
    <t>LongTermDebtCurrent + ShortTermBorrowings</t>
  </si>
  <si>
    <t>Other current liabilities (residual)</t>
  </si>
  <si>
    <t>Total current liabilities</t>
  </si>
  <si>
    <t>LiabilitiesCurrent</t>
  </si>
  <si>
    <t>Long-term debt</t>
  </si>
  <si>
    <t>LongTermDebtNoncurrent</t>
  </si>
  <si>
    <t>Other non-current liabilities (residual)</t>
  </si>
  <si>
    <t>Total liabilities</t>
  </si>
  <si>
    <t>Total stockholders' equity</t>
  </si>
  <si>
    <t>StockholdersEquity</t>
  </si>
  <si>
    <t>Total liabilities and equity</t>
  </si>
  <si>
    <t>LiabilitiesAndStockholdersEquity</t>
  </si>
  <si>
    <t>Check: assets - liabilities and equity</t>
  </si>
  <si>
    <t>Total debt (excl. leases)</t>
  </si>
  <si>
    <t>Cash and short-term investments</t>
  </si>
  <si>
    <t>Net debt</t>
  </si>
  <si>
    <t>Common shares outstanding</t>
  </si>
  <si>
    <t>CommonStockSharesOutstanding</t>
  </si>
  <si>
    <t>CASH FLOW STATEMENT</t>
  </si>
  <si>
    <t>Other adjustments and working capital (residual)</t>
  </si>
  <si>
    <t>Net cash from operating activities</t>
  </si>
  <si>
    <t>NetCashProvidedByUsedInOperatingActivities</t>
  </si>
  <si>
    <t>Capital expenditures</t>
  </si>
  <si>
    <t>PaymentsToAcquireProductiveAssets</t>
  </si>
  <si>
    <t>Other investing activities (residual)</t>
  </si>
  <si>
    <t>Net cash from investing activities</t>
  </si>
  <si>
    <t>NetCashProvidedByUsedInInvestingActivities</t>
  </si>
  <si>
    <t>Repurchases of common stock</t>
  </si>
  <si>
    <t>Dividends paid</t>
  </si>
  <si>
    <t>Other financing activities (residual)</t>
  </si>
  <si>
    <t>Net cash from financing activities</t>
  </si>
  <si>
    <t>NetCashProvidedByUsedInFinancingActivities</t>
  </si>
  <si>
    <t>Effect of exchange rates on cash</t>
  </si>
  <si>
    <t>EffectOfExchangeRateOnCashCashEquivalentsRestrictedCashAndRestrictedCashEquivalentsIncludingDisposalGroupAndDiscontinuedOperations</t>
  </si>
  <si>
    <t>Net change in cash</t>
  </si>
  <si>
    <t>Free cash flow (operating cash flow - capex)</t>
  </si>
  <si>
    <t>Microsoft (MSFT)</t>
  </si>
  <si>
    <t>Form 10-K, accession 0000950170-25-100235. USD millions, except per-share data; shares in millions.</t>
  </si>
  <si>
    <t>GrossProfit</t>
  </si>
  <si>
    <t>ResearchAndDevelopmentExpense</t>
  </si>
  <si>
    <t>SellingAndMarketingExpense</t>
  </si>
  <si>
    <t>InvestmentIncomeNet</t>
  </si>
  <si>
    <t>IncomeLossFromContinuingOperationsBeforeIncomeTaxesExtraordinaryItemsNoncontrollingInterest</t>
  </si>
  <si>
    <t>Depreciation + AmortizationOfIntangibleAssets</t>
  </si>
  <si>
    <t>ShortTermInvestments</t>
  </si>
  <si>
    <t>FiniteLivedIntangibleAssetsNet</t>
  </si>
  <si>
    <t>LongTermDebtCurrent + CommercialPaper</t>
  </si>
  <si>
    <t>Liabilities</t>
  </si>
  <si>
    <t>PaymentsToAcquirePropertyPlantAndEquipment</t>
  </si>
  <si>
    <t>PaymentsForRepurchaseOfCommonStock</t>
  </si>
  <si>
    <t>PaymentsOfDividendsCommonStock</t>
  </si>
  <si>
    <t>Nvidia (NVDA)</t>
  </si>
  <si>
    <t>Form 10-K, accession 0001045810-26-000021. USD millions, except per-share data; shares in millions.</t>
  </si>
  <si>
    <t>Revenues</t>
  </si>
  <si>
    <t>CostOfRevenue</t>
  </si>
  <si>
    <t>SellingGeneralAndAdministrativeExpense</t>
  </si>
  <si>
    <t>DebtCurrent</t>
  </si>
  <si>
    <t>PaymentsOfDividends</t>
  </si>
  <si>
    <t>Alphabet (GOOGL)</t>
  </si>
  <si>
    <t>Form 10-K, accession 0001652044-26-000018. USD millions, except per-share data; shares in millions.</t>
  </si>
  <si>
    <t>InterestIncomeOther</t>
  </si>
  <si>
    <t>Depreciation</t>
  </si>
  <si>
    <t>PropertyPlantAndEquipmentAndFinanceLeaseRightOfUseAssetAfterAccumulatedDepreciationAndAmortization</t>
  </si>
  <si>
    <t>EffectOfExchangeRateOnCashCashEquivalentsRestrictedCashAndRestrictedCashEquivalents</t>
  </si>
  <si>
    <t>Meta Platforms (META)</t>
  </si>
  <si>
    <t>Form 10-K, accession 0001628280-26-003942. USD millions, except per-share data; shares in millions.</t>
  </si>
  <si>
    <t>AccountsPayableTradeCurrent</t>
  </si>
  <si>
    <t>Apple (AAPL)</t>
  </si>
  <si>
    <t>Form 10-K, accession 0000320193-25-000079. USD millions, except per-share data; shares in millions.</t>
  </si>
  <si>
    <t>Broadcom (AVGO)</t>
  </si>
  <si>
    <t>Form 10-K, accession 0001730168-25-000121. USD millions, except per-share data; shares in millions.</t>
  </si>
  <si>
    <t>ProfitLoss</t>
  </si>
  <si>
    <t>LongTermDebtCurrent</t>
  </si>
  <si>
    <t>LongTermDebtAndCapitalLeaseObligations</t>
  </si>
  <si>
    <t>StockholdersEquityIncludingPortionAttributableToNoncontrollingInterest</t>
  </si>
  <si>
    <t>ServiceNow (NOW)</t>
  </si>
  <si>
    <t>Form 10-K, accession 0001373715-26-000007. USD millions, except per-share data; shares in millions.</t>
  </si>
  <si>
    <t>AvailableForSaleSecuritiesDebtSecuritiesCurrent</t>
  </si>
  <si>
    <t>ConvertibleLongTermNotesPayable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</si>
</sst>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quot;"/>
    <numFmt numFmtId="165" formatCode="0.00;\(0.00\);&quot;-&quot;"/>
    <numFmt numFmtId="167" formatCode="dd\-mmm\-yyyy"/>
    <numFmt numFmtId="168" formatCode="0.0%"/>
  </numFmts>
  <fonts count="9" x14ac:knownFonts="1">
    <font>
      <sz val="11"/>
      <color theme="1"/>
      <name val="Calibri"/>
      <family val="2"/>
      <scheme val="minor"/>
    </font>
    <font>
      <b/>
      <sz val="14"/>
      <name val="Arial"/>
    </font>
    <font>
      <i/>
      <sz val="9"/>
      <color rgb="FF595959"/>
      <name val="Arial"/>
    </font>
    <font>
      <b/>
      <sz val="10"/>
      <color rgb="FFFFFFFF"/>
      <name val="Arial"/>
    </font>
    <font>
      <b/>
      <sz val="10"/>
      <name val="Arial"/>
    </font>
    <font>
      <b/>
      <sz val="10"/>
      <color rgb="FF0000FF"/>
      <name val="Arial"/>
    </font>
    <font>
      <sz val="10"/>
      <name val="Arial"/>
    </font>
    <font>
      <sz val="10"/>
      <color rgb="FF0000FF"/>
      <name val="Arial"/>
    </font>
    <font>
      <u/>
      <sz val="10"/>
      <name val="Arial"/>
    </font>
  </fonts>
  <fills count="4">
    <fill>
      <patternFill patternType="none"/>
    </fill>
    <fill>
      <patternFill patternType="gray125"/>
    </fill>
    <fill>
      <patternFill patternType="solid">
        <fgColor rgb="FF1F2937"/>
      </patternFill>
    </fill>
    <fill>
      <patternFill patternType="solid">
        <fgColor rgb="FFE5E7EB"/>
      </patternFill>
    </fill>
  </fills>
  <borders count="2">
    <border>
      <left/>
      <right/>
      <top/>
      <bottom/>
      <diagonal/>
    </border>
    <border>
      <left/>
      <right/>
      <top style="thin">
        <color auto="1"/>
      </top>
      <bottom/>
      <diagonal/>
    </border>
  </borders>
  <cellStyleXfs count="1">
    <xf numFmtId="0" fontId="0" fillId="0" borderId="0"/>
  </cellStyleXfs>
  <cellXfs count="25">
    <xf numFmtId="0" fontId="0" fillId="0" borderId="0" xfId="0"/>
    <xf numFmtId="0" fontId="1" fillId="0" borderId="0" xfId="0" applyFont="1" applyAlignment="1">
      <alignment vertical="top" wrapText="1"/>
    </xf>
    <xf numFmtId="0" fontId="6" fillId="0" borderId="0" xfId="0" applyFont="1" applyAlignment="1">
      <alignment vertical="top" wrapText="1"/>
    </xf>
    <xf numFmtId="0" fontId="4" fillId="0" borderId="0" xfId="0" applyFont="1" applyAlignment="1">
      <alignment vertical="top" wrapText="1"/>
    </xf>
    <xf numFmtId="0" fontId="3" fillId="2" borderId="0" xfId="0" applyFont="1" applyFill="1"/>
    <xf numFmtId="0" fontId="6" fillId="0" borderId="0" xfId="0" applyFont="1"/>
    <xf numFmtId="0" fontId="8" fillId="0" borderId="0" xfId="0" applyFont="1"/>
    <xf numFmtId="0" fontId="1" fillId="0" borderId="0" xfId="0" applyFont="1"/>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167" fontId="6" fillId="0" borderId="0" xfId="0" applyNumberFormat="1" applyFont="1" applyAlignment="1">
      <alignment horizontal="left"/>
    </xf>
    <xf numFmtId="164" fontId="6" fillId="0" borderId="0" xfId="0" applyNumberFormat="1" applyFont="1" applyAlignment="1">
      <alignment horizontal="right"/>
    </xf>
    <xf numFmtId="168" fontId="6" fillId="0" borderId="0" xfId="0" applyNumberFormat="1" applyFont="1" applyAlignment="1">
      <alignment horizontal="right"/>
    </xf>
    <xf numFmtId="0" fontId="2" fillId="0" borderId="0" xfId="0" applyFont="1"/>
    <xf numFmtId="0" fontId="3" fillId="2" borderId="0" xfId="0" applyFont="1" applyFill="1" applyAlignment="1">
      <alignment horizontal="left"/>
    </xf>
    <xf numFmtId="0" fontId="3" fillId="2" borderId="0" xfId="0" applyFont="1" applyFill="1" applyAlignment="1">
      <alignment horizontal="right"/>
    </xf>
    <xf numFmtId="0" fontId="4" fillId="3" borderId="0" xfId="0" applyFont="1" applyFill="1"/>
    <xf numFmtId="0" fontId="0" fillId="3" borderId="0" xfId="0" applyFill="1"/>
    <xf numFmtId="0" fontId="4" fillId="0" borderId="1" xfId="0" applyFont="1" applyBorder="1"/>
    <xf numFmtId="164" fontId="5" fillId="0" borderId="1" xfId="0" applyNumberFormat="1" applyFont="1" applyBorder="1"/>
    <xf numFmtId="164" fontId="7" fillId="0" borderId="0" xfId="0" applyNumberFormat="1" applyFont="1"/>
    <xf numFmtId="164" fontId="4" fillId="0" borderId="1" xfId="0" applyNumberFormat="1" applyFont="1" applyBorder="1"/>
    <xf numFmtId="164" fontId="6" fillId="0" borderId="0" xfId="0" applyNumberFormat="1" applyFont="1"/>
    <xf numFmtId="0" fontId="6" fillId="0" borderId="0" xfId="0" applyFont="1" applyAlignment="1">
      <alignment indent="2"/>
    </xf>
    <xf numFmtId="165" fontId="7"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ata.sec.gov/api/xbrl/companyfacts/CIK0001652044.json" TargetMode="External"/><Relationship Id="rId13" Type="http://schemas.openxmlformats.org/officeDocument/2006/relationships/hyperlink" Target="https://www.sec.gov/Archives/edgar/data/1730168/000173016825000121/" TargetMode="External"/><Relationship Id="rId3" Type="http://schemas.openxmlformats.org/officeDocument/2006/relationships/hyperlink" Target="https://www.sec.gov/Archives/edgar/data/789019/000095017025100235/" TargetMode="External"/><Relationship Id="rId7" Type="http://schemas.openxmlformats.org/officeDocument/2006/relationships/hyperlink" Target="https://www.sec.gov/Archives/edgar/data/1652044/000165204426000018/" TargetMode="External"/><Relationship Id="rId12" Type="http://schemas.openxmlformats.org/officeDocument/2006/relationships/hyperlink" Target="https://data.sec.gov/api/xbrl/companyfacts/CIK0000320193.json" TargetMode="External"/><Relationship Id="rId2" Type="http://schemas.openxmlformats.org/officeDocument/2006/relationships/hyperlink" Target="https://data.sec.gov/api/xbrl/companyfacts/CIK0001018724.json" TargetMode="External"/><Relationship Id="rId16" Type="http://schemas.openxmlformats.org/officeDocument/2006/relationships/hyperlink" Target="https://data.sec.gov/api/xbrl/companyfacts/CIK0001373715.json" TargetMode="External"/><Relationship Id="rId1" Type="http://schemas.openxmlformats.org/officeDocument/2006/relationships/hyperlink" Target="https://www.sec.gov/Archives/edgar/data/1018724/000101872426000004/" TargetMode="External"/><Relationship Id="rId6" Type="http://schemas.openxmlformats.org/officeDocument/2006/relationships/hyperlink" Target="https://data.sec.gov/api/xbrl/companyfacts/CIK0001045810.json" TargetMode="External"/><Relationship Id="rId11" Type="http://schemas.openxmlformats.org/officeDocument/2006/relationships/hyperlink" Target="https://www.sec.gov/Archives/edgar/data/320193/000032019325000079/" TargetMode="External"/><Relationship Id="rId5" Type="http://schemas.openxmlformats.org/officeDocument/2006/relationships/hyperlink" Target="https://www.sec.gov/Archives/edgar/data/1045810/000104581026000021/" TargetMode="External"/><Relationship Id="rId15" Type="http://schemas.openxmlformats.org/officeDocument/2006/relationships/hyperlink" Target="https://www.sec.gov/Archives/edgar/data/1373715/000137371526000007/" TargetMode="External"/><Relationship Id="rId10" Type="http://schemas.openxmlformats.org/officeDocument/2006/relationships/hyperlink" Target="https://data.sec.gov/api/xbrl/companyfacts/CIK0001326801.json" TargetMode="External"/><Relationship Id="rId4" Type="http://schemas.openxmlformats.org/officeDocument/2006/relationships/hyperlink" Target="https://data.sec.gov/api/xbrl/companyfacts/CIK0000789019.json" TargetMode="External"/><Relationship Id="rId9" Type="http://schemas.openxmlformats.org/officeDocument/2006/relationships/hyperlink" Target="https://www.sec.gov/Archives/edgar/data/1326801/000162828026003942/" TargetMode="External"/><Relationship Id="rId14" Type="http://schemas.openxmlformats.org/officeDocument/2006/relationships/hyperlink" Target="https://data.sec.gov/api/xbrl/companyfacts/CIK0001730168.j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showGridLines="0" tabSelected="1" workbookViewId="0"/>
  </sheetViews>
  <sheetFormatPr defaultRowHeight="14.5" x14ac:dyDescent="0.35"/>
  <cols>
    <col min="1" max="1" width="110" customWidth="1"/>
    <col min="2" max="2" width="10" customWidth="1"/>
    <col min="3" max="3" width="16" customWidth="1"/>
    <col min="4" max="5" width="62" customWidth="1"/>
  </cols>
  <sheetData>
    <row r="1" spans="1:1" ht="18" x14ac:dyDescent="0.35">
      <c r="A1" s="1" t="s">
        <v>0</v>
      </c>
    </row>
    <row r="2" spans="1:1" x14ac:dyDescent="0.35">
      <c r="A2" s="2" t="s">
        <v>1</v>
      </c>
    </row>
    <row r="3" spans="1:1" x14ac:dyDescent="0.35">
      <c r="A3" s="2"/>
    </row>
    <row r="4" spans="1:1" x14ac:dyDescent="0.35">
      <c r="A4" s="3" t="s">
        <v>2</v>
      </c>
    </row>
    <row r="5" spans="1:1" ht="25" x14ac:dyDescent="0.35">
      <c r="A5" s="2" t="s">
        <v>3</v>
      </c>
    </row>
    <row r="6" spans="1:1" x14ac:dyDescent="0.35">
      <c r="A6" s="2" t="s">
        <v>4</v>
      </c>
    </row>
    <row r="7" spans="1:1" x14ac:dyDescent="0.35">
      <c r="A7" s="2"/>
    </row>
    <row r="8" spans="1:1" x14ac:dyDescent="0.35">
      <c r="A8" s="3" t="s">
        <v>5</v>
      </c>
    </row>
    <row r="9" spans="1:1" x14ac:dyDescent="0.35">
      <c r="A9" s="2" t="s">
        <v>6</v>
      </c>
    </row>
    <row r="10" spans="1:1" x14ac:dyDescent="0.35">
      <c r="A10" s="2" t="s">
        <v>7</v>
      </c>
    </row>
    <row r="11" spans="1:1" ht="25" x14ac:dyDescent="0.35">
      <c r="A11" s="2" t="s">
        <v>8</v>
      </c>
    </row>
    <row r="12" spans="1:1" ht="25" x14ac:dyDescent="0.35">
      <c r="A12" s="2" t="s">
        <v>9</v>
      </c>
    </row>
    <row r="13" spans="1:1" x14ac:dyDescent="0.35">
      <c r="A13" s="2"/>
    </row>
    <row r="14" spans="1:1" x14ac:dyDescent="0.35">
      <c r="A14" s="3" t="s">
        <v>10</v>
      </c>
    </row>
    <row r="15" spans="1:1" ht="25" x14ac:dyDescent="0.35">
      <c r="A15" s="2" t="s">
        <v>11</v>
      </c>
    </row>
    <row r="16" spans="1:1" ht="25" x14ac:dyDescent="0.35">
      <c r="A16" s="2" t="s">
        <v>12</v>
      </c>
    </row>
    <row r="17" spans="1:5" x14ac:dyDescent="0.35">
      <c r="A17" s="2" t="s">
        <v>13</v>
      </c>
    </row>
    <row r="18" spans="1:5" ht="25" x14ac:dyDescent="0.35">
      <c r="A18" s="2" t="s">
        <v>14</v>
      </c>
    </row>
    <row r="19" spans="1:5" ht="25" x14ac:dyDescent="0.35">
      <c r="A19" s="2" t="s">
        <v>15</v>
      </c>
    </row>
    <row r="20" spans="1:5" x14ac:dyDescent="0.35">
      <c r="A20" s="2" t="s">
        <v>16</v>
      </c>
    </row>
    <row r="21" spans="1:5" ht="25" x14ac:dyDescent="0.35">
      <c r="A21" s="2" t="s">
        <v>17</v>
      </c>
    </row>
    <row r="22" spans="1:5" x14ac:dyDescent="0.35">
      <c r="A22" s="2" t="s">
        <v>18</v>
      </c>
    </row>
    <row r="23" spans="1:5" x14ac:dyDescent="0.35">
      <c r="A23" s="2"/>
    </row>
    <row r="24" spans="1:5" x14ac:dyDescent="0.35">
      <c r="A24" s="3" t="s">
        <v>19</v>
      </c>
    </row>
    <row r="25" spans="1:5" x14ac:dyDescent="0.35">
      <c r="A25" s="4" t="s">
        <v>20</v>
      </c>
      <c r="B25" s="4" t="s">
        <v>21</v>
      </c>
      <c r="C25" s="4" t="s">
        <v>22</v>
      </c>
      <c r="D25" s="4" t="s">
        <v>23</v>
      </c>
      <c r="E25" s="4" t="s">
        <v>24</v>
      </c>
    </row>
    <row r="26" spans="1:5" x14ac:dyDescent="0.35">
      <c r="A26" s="5" t="s">
        <v>25</v>
      </c>
      <c r="B26" s="5" t="s">
        <v>26</v>
      </c>
      <c r="C26" s="5" t="s">
        <v>27</v>
      </c>
      <c r="D26" s="6" t="s">
        <v>28</v>
      </c>
      <c r="E26" s="6" t="s">
        <v>29</v>
      </c>
    </row>
    <row r="27" spans="1:5" x14ac:dyDescent="0.35">
      <c r="A27" s="5" t="s">
        <v>30</v>
      </c>
      <c r="B27" s="5" t="s">
        <v>31</v>
      </c>
      <c r="C27" s="5" t="s">
        <v>32</v>
      </c>
      <c r="D27" s="6" t="s">
        <v>33</v>
      </c>
      <c r="E27" s="6" t="s">
        <v>34</v>
      </c>
    </row>
    <row r="28" spans="1:5" x14ac:dyDescent="0.35">
      <c r="A28" s="5" t="s">
        <v>35</v>
      </c>
      <c r="B28" s="5" t="s">
        <v>36</v>
      </c>
      <c r="C28" s="5" t="s">
        <v>37</v>
      </c>
      <c r="D28" s="6" t="s">
        <v>38</v>
      </c>
      <c r="E28" s="6" t="s">
        <v>39</v>
      </c>
    </row>
    <row r="29" spans="1:5" x14ac:dyDescent="0.35">
      <c r="A29" s="5" t="s">
        <v>40</v>
      </c>
      <c r="B29" s="5" t="s">
        <v>41</v>
      </c>
      <c r="C29" s="5" t="s">
        <v>27</v>
      </c>
      <c r="D29" s="6" t="s">
        <v>42</v>
      </c>
      <c r="E29" s="6" t="s">
        <v>43</v>
      </c>
    </row>
    <row r="30" spans="1:5" x14ac:dyDescent="0.35">
      <c r="A30" s="5" t="s">
        <v>44</v>
      </c>
      <c r="B30" s="5" t="s">
        <v>45</v>
      </c>
      <c r="C30" s="5" t="s">
        <v>27</v>
      </c>
      <c r="D30" s="6" t="s">
        <v>46</v>
      </c>
      <c r="E30" s="6" t="s">
        <v>47</v>
      </c>
    </row>
    <row r="31" spans="1:5" x14ac:dyDescent="0.35">
      <c r="A31" s="5" t="s">
        <v>48</v>
      </c>
      <c r="B31" s="5" t="s">
        <v>49</v>
      </c>
      <c r="C31" s="5" t="s">
        <v>50</v>
      </c>
      <c r="D31" s="6" t="s">
        <v>51</v>
      </c>
      <c r="E31" s="6" t="s">
        <v>52</v>
      </c>
    </row>
    <row r="32" spans="1:5" x14ac:dyDescent="0.35">
      <c r="A32" s="5" t="s">
        <v>53</v>
      </c>
      <c r="B32" s="5" t="s">
        <v>54</v>
      </c>
      <c r="C32" s="5" t="s">
        <v>55</v>
      </c>
      <c r="D32" s="6" t="s">
        <v>56</v>
      </c>
      <c r="E32" s="6" t="s">
        <v>57</v>
      </c>
    </row>
    <row r="33" spans="1:5" x14ac:dyDescent="0.35">
      <c r="A33" s="5" t="s">
        <v>58</v>
      </c>
      <c r="B33" s="5" t="s">
        <v>59</v>
      </c>
      <c r="C33" s="5" t="s">
        <v>27</v>
      </c>
      <c r="D33" s="6" t="s">
        <v>60</v>
      </c>
      <c r="E33" s="6" t="s">
        <v>61</v>
      </c>
    </row>
  </sheetData>
  <hyperlinks>
    <hyperlink ref="D26" r:id="rId1" xr:uid="{00000000-0004-0000-0000-000000000000}"/>
    <hyperlink ref="E26" r:id="rId2" xr:uid="{00000000-0004-0000-0000-000001000000}"/>
    <hyperlink ref="D27" r:id="rId3" xr:uid="{00000000-0004-0000-0000-000002000000}"/>
    <hyperlink ref="E27" r:id="rId4" xr:uid="{00000000-0004-0000-0000-000003000000}"/>
    <hyperlink ref="D28" r:id="rId5" xr:uid="{00000000-0004-0000-0000-000004000000}"/>
    <hyperlink ref="E28" r:id="rId6" xr:uid="{00000000-0004-0000-0000-000005000000}"/>
    <hyperlink ref="D29" r:id="rId7" xr:uid="{00000000-0004-0000-0000-000006000000}"/>
    <hyperlink ref="E29" r:id="rId8" xr:uid="{00000000-0004-0000-0000-000007000000}"/>
    <hyperlink ref="D30" r:id="rId9" xr:uid="{00000000-0004-0000-0000-000008000000}"/>
    <hyperlink ref="E30" r:id="rId10" xr:uid="{00000000-0004-0000-0000-000009000000}"/>
    <hyperlink ref="D31" r:id="rId11" xr:uid="{00000000-0004-0000-0000-00000A000000}"/>
    <hyperlink ref="E31" r:id="rId12" xr:uid="{00000000-0004-0000-0000-00000B000000}"/>
    <hyperlink ref="D32" r:id="rId13" xr:uid="{00000000-0004-0000-0000-00000C000000}"/>
    <hyperlink ref="E32" r:id="rId14" xr:uid="{00000000-0004-0000-0000-00000D000000}"/>
    <hyperlink ref="D33" r:id="rId15" xr:uid="{00000000-0004-0000-0000-00000E000000}"/>
    <hyperlink ref="E33" r:id="rId16" xr:uid="{00000000-0004-0000-0000-00000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1"/>
  <sheetViews>
    <sheetView showGridLines="0" workbookViewId="0">
      <pane xSplit="2" ySplit="3" topLeftCell="C4" activePane="bottomRight" state="frozen"/>
      <selection pane="topRight"/>
      <selection pane="bottomLeft"/>
      <selection pane="bottomRight"/>
    </sheetView>
  </sheetViews>
  <sheetFormatPr defaultRowHeight="14.5" x14ac:dyDescent="0.35"/>
  <cols>
    <col min="1" max="1" width="16" customWidth="1"/>
    <col min="2" max="2" width="18" customWidth="1"/>
    <col min="3" max="17" width="16" customWidth="1"/>
  </cols>
  <sheetData>
    <row r="1" spans="1:17" ht="18" x14ac:dyDescent="0.4">
      <c r="A1" s="7" t="s">
        <v>62</v>
      </c>
    </row>
    <row r="3" spans="1:17" ht="30" customHeight="1" x14ac:dyDescent="0.35">
      <c r="A3" s="8" t="s">
        <v>21</v>
      </c>
      <c r="B3" s="8" t="s">
        <v>20</v>
      </c>
      <c r="C3" s="8" t="s">
        <v>63</v>
      </c>
      <c r="D3" s="8" t="s">
        <v>22</v>
      </c>
      <c r="E3" s="9" t="s">
        <v>64</v>
      </c>
      <c r="F3" s="9" t="s">
        <v>65</v>
      </c>
      <c r="G3" s="9" t="s">
        <v>66</v>
      </c>
      <c r="H3" s="9" t="s">
        <v>67</v>
      </c>
      <c r="I3" s="9" t="s">
        <v>68</v>
      </c>
      <c r="J3" s="9" t="s">
        <v>69</v>
      </c>
      <c r="K3" s="9" t="s">
        <v>70</v>
      </c>
      <c r="L3" s="9" t="s">
        <v>71</v>
      </c>
      <c r="M3" s="9" t="s">
        <v>72</v>
      </c>
      <c r="N3" s="9" t="s">
        <v>73</v>
      </c>
      <c r="O3" s="9" t="s">
        <v>74</v>
      </c>
      <c r="P3" s="9" t="s">
        <v>75</v>
      </c>
      <c r="Q3" s="9" t="s">
        <v>76</v>
      </c>
    </row>
    <row r="4" spans="1:17" x14ac:dyDescent="0.35">
      <c r="A4" s="5" t="s">
        <v>26</v>
      </c>
      <c r="B4" s="5" t="s">
        <v>25</v>
      </c>
      <c r="C4" s="5" t="s">
        <v>77</v>
      </c>
      <c r="D4" s="10">
        <v>46022</v>
      </c>
      <c r="E4" s="11">
        <f>AMZN!B6</f>
        <v>716924</v>
      </c>
      <c r="F4" s="11">
        <f>AMZN!B8</f>
        <v>360510</v>
      </c>
      <c r="G4" s="11">
        <f>AMZN!B15</f>
        <v>79975</v>
      </c>
      <c r="H4" s="11">
        <f>AMZN!B31</f>
        <v>145731</v>
      </c>
      <c r="I4" s="11">
        <f>AMZN!B22</f>
        <v>77670</v>
      </c>
      <c r="J4" s="12">
        <f>AMZN!B8/AMZN!B6</f>
        <v>0.50285664868242663</v>
      </c>
      <c r="K4" s="12">
        <f>AMZN!B15/AMZN!B6</f>
        <v>0.11155296795755199</v>
      </c>
      <c r="L4" s="12">
        <f>AMZN!B31/AMZN!B6</f>
        <v>0.20327259235288539</v>
      </c>
      <c r="M4" s="12">
        <f>AMZN!B22/AMZN!B6</f>
        <v>0.10833784334183261</v>
      </c>
      <c r="N4" s="11">
        <f>AMZN!B59</f>
        <v>123029</v>
      </c>
      <c r="O4" s="11">
        <f>AMZN!B58</f>
        <v>68851</v>
      </c>
      <c r="P4" s="11">
        <f>AMZN!B45</f>
        <v>818042</v>
      </c>
      <c r="Q4" s="11">
        <f>AMZN!B54</f>
        <v>411065</v>
      </c>
    </row>
    <row r="5" spans="1:17" x14ac:dyDescent="0.35">
      <c r="A5" s="5" t="s">
        <v>31</v>
      </c>
      <c r="B5" s="5" t="s">
        <v>30</v>
      </c>
      <c r="C5" s="5" t="s">
        <v>78</v>
      </c>
      <c r="D5" s="10">
        <v>45838</v>
      </c>
      <c r="E5" s="11">
        <f>MSFT!B6</f>
        <v>281724</v>
      </c>
      <c r="F5" s="11">
        <f>MSFT!B8</f>
        <v>193893</v>
      </c>
      <c r="G5" s="11">
        <f>MSFT!B15</f>
        <v>128528</v>
      </c>
      <c r="H5" s="11">
        <f>MSFT!B31</f>
        <v>156528</v>
      </c>
      <c r="I5" s="11">
        <f>MSFT!B22</f>
        <v>101832</v>
      </c>
      <c r="J5" s="12">
        <f>MSFT!B8/MSFT!B6</f>
        <v>0.68823742386165188</v>
      </c>
      <c r="K5" s="12">
        <f>MSFT!B15/MSFT!B6</f>
        <v>0.45621956240859851</v>
      </c>
      <c r="L5" s="12">
        <f>MSFT!B31/MSFT!B6</f>
        <v>0.5556076159645611</v>
      </c>
      <c r="M5" s="12">
        <f>MSFT!B22/MSFT!B6</f>
        <v>0.36146015248967073</v>
      </c>
      <c r="N5" s="11">
        <f>MSFT!B59</f>
        <v>94565</v>
      </c>
      <c r="O5" s="11">
        <f>MSFT!B58</f>
        <v>43151</v>
      </c>
      <c r="P5" s="11">
        <f>MSFT!B45</f>
        <v>619003</v>
      </c>
      <c r="Q5" s="11">
        <f>MSFT!B54</f>
        <v>343479</v>
      </c>
    </row>
    <row r="6" spans="1:17" x14ac:dyDescent="0.35">
      <c r="A6" s="5" t="s">
        <v>36</v>
      </c>
      <c r="B6" s="5" t="s">
        <v>35</v>
      </c>
      <c r="C6" s="5" t="s">
        <v>78</v>
      </c>
      <c r="D6" s="10">
        <v>46047</v>
      </c>
      <c r="E6" s="11">
        <f>NVDA!B6</f>
        <v>215938</v>
      </c>
      <c r="F6" s="11">
        <f>NVDA!B8</f>
        <v>153463</v>
      </c>
      <c r="G6" s="11">
        <f>NVDA!B15</f>
        <v>130387</v>
      </c>
      <c r="H6" s="11">
        <f>NVDA!B31</f>
        <v>133230</v>
      </c>
      <c r="I6" s="11">
        <f>NVDA!B22</f>
        <v>120067</v>
      </c>
      <c r="J6" s="12">
        <f>NVDA!B8/NVDA!B6</f>
        <v>0.71068084357547079</v>
      </c>
      <c r="K6" s="12">
        <f>NVDA!B15/NVDA!B6</f>
        <v>0.60381683631412719</v>
      </c>
      <c r="L6" s="12">
        <f>NVDA!B31/NVDA!B6</f>
        <v>0.61698265242801176</v>
      </c>
      <c r="M6" s="12">
        <f>NVDA!B22/NVDA!B6</f>
        <v>0.55602534060702613</v>
      </c>
      <c r="N6" s="11">
        <f>NVDA!B59</f>
        <v>10605</v>
      </c>
      <c r="O6" s="11">
        <f>NVDA!B58</f>
        <v>8468</v>
      </c>
      <c r="P6" s="11">
        <f>NVDA!B45</f>
        <v>206803</v>
      </c>
      <c r="Q6" s="11">
        <f>NVDA!B54</f>
        <v>157293</v>
      </c>
    </row>
    <row r="7" spans="1:17" x14ac:dyDescent="0.35">
      <c r="A7" s="5" t="s">
        <v>41</v>
      </c>
      <c r="B7" s="5" t="s">
        <v>40</v>
      </c>
      <c r="C7" s="5" t="s">
        <v>78</v>
      </c>
      <c r="D7" s="10">
        <v>46022</v>
      </c>
      <c r="E7" s="11">
        <f>GOOGL!B6</f>
        <v>402836</v>
      </c>
      <c r="F7" s="11">
        <f>GOOGL!B8</f>
        <v>240301</v>
      </c>
      <c r="G7" s="11">
        <f>GOOGL!B15</f>
        <v>129039</v>
      </c>
      <c r="H7" s="11">
        <f>GOOGL!B31</f>
        <v>150175</v>
      </c>
      <c r="I7" s="11">
        <f>GOOGL!B22</f>
        <v>132170</v>
      </c>
      <c r="J7" s="12">
        <f>GOOGL!B8/GOOGL!B6</f>
        <v>0.59652315086039975</v>
      </c>
      <c r="K7" s="12">
        <f>GOOGL!B15/GOOGL!B6</f>
        <v>0.32032638592380025</v>
      </c>
      <c r="L7" s="12">
        <f>GOOGL!B31/GOOGL!B6</f>
        <v>0.3727943877905649</v>
      </c>
      <c r="M7" s="12">
        <f>GOOGL!B22/GOOGL!B6</f>
        <v>0.32809877965226542</v>
      </c>
      <c r="N7" s="11">
        <f>GOOGL!B59</f>
        <v>126843</v>
      </c>
      <c r="O7" s="11">
        <f>GOOGL!B58</f>
        <v>48543</v>
      </c>
      <c r="P7" s="11">
        <f>GOOGL!B45</f>
        <v>595281</v>
      </c>
      <c r="Q7" s="11">
        <f>GOOGL!B54</f>
        <v>415265</v>
      </c>
    </row>
    <row r="8" spans="1:17" x14ac:dyDescent="0.35">
      <c r="A8" s="5" t="s">
        <v>45</v>
      </c>
      <c r="B8" s="5" t="s">
        <v>44</v>
      </c>
      <c r="C8" s="5" t="s">
        <v>78</v>
      </c>
      <c r="D8" s="10">
        <v>46022</v>
      </c>
      <c r="E8" s="11">
        <f>META!B6</f>
        <v>200966</v>
      </c>
      <c r="F8" s="11">
        <f>META!B8</f>
        <v>164791</v>
      </c>
      <c r="G8" s="11">
        <f>META!B15</f>
        <v>83276</v>
      </c>
      <c r="H8" s="11">
        <f>META!B31</f>
        <v>101892</v>
      </c>
      <c r="I8" s="11">
        <f>META!B22</f>
        <v>60458</v>
      </c>
      <c r="J8" s="12">
        <f>META!B8/META!B6</f>
        <v>0.81999442691798607</v>
      </c>
      <c r="K8" s="12">
        <f>META!B15/META!B6</f>
        <v>0.41437855159579234</v>
      </c>
      <c r="L8" s="12">
        <f>META!B31/META!B6</f>
        <v>0.50701113621209559</v>
      </c>
      <c r="M8" s="12">
        <f>META!B22/META!B6</f>
        <v>0.30083695749529771</v>
      </c>
      <c r="N8" s="11">
        <f>META!B59</f>
        <v>81592</v>
      </c>
      <c r="O8" s="11">
        <f>META!B58</f>
        <v>58744</v>
      </c>
      <c r="P8" s="11">
        <f>META!B45</f>
        <v>366021</v>
      </c>
      <c r="Q8" s="11">
        <f>META!B54</f>
        <v>217243</v>
      </c>
    </row>
    <row r="9" spans="1:17" x14ac:dyDescent="0.35">
      <c r="A9" s="5" t="s">
        <v>49</v>
      </c>
      <c r="B9" s="5" t="s">
        <v>48</v>
      </c>
      <c r="C9" s="5" t="s">
        <v>78</v>
      </c>
      <c r="D9" s="10">
        <v>45927</v>
      </c>
      <c r="E9" s="11">
        <f>AAPL!B6</f>
        <v>416161</v>
      </c>
      <c r="F9" s="11">
        <f>AAPL!B8</f>
        <v>195201</v>
      </c>
      <c r="G9" s="11">
        <f>AAPL!B15</f>
        <v>133050</v>
      </c>
      <c r="H9" s="11">
        <f>AAPL!B31</f>
        <v>144748</v>
      </c>
      <c r="I9" s="11">
        <f>AAPL!B22</f>
        <v>112010</v>
      </c>
      <c r="J9" s="12">
        <f>AAPL!B8/AAPL!B6</f>
        <v>0.46905164107160452</v>
      </c>
      <c r="K9" s="12">
        <f>AAPL!B15/AAPL!B6</f>
        <v>0.31970799762591884</v>
      </c>
      <c r="L9" s="12">
        <f>AAPL!B31/AAPL!B6</f>
        <v>0.34781731108873731</v>
      </c>
      <c r="M9" s="12">
        <f>AAPL!B22/AAPL!B6</f>
        <v>0.26915064121818238</v>
      </c>
      <c r="N9" s="11">
        <f>AAPL!B59</f>
        <v>54697</v>
      </c>
      <c r="O9" s="11">
        <f>AAPL!B58</f>
        <v>98657</v>
      </c>
      <c r="P9" s="11">
        <f>AAPL!B45</f>
        <v>359241</v>
      </c>
      <c r="Q9" s="11">
        <f>AAPL!B54</f>
        <v>73733</v>
      </c>
    </row>
    <row r="10" spans="1:17" x14ac:dyDescent="0.35">
      <c r="A10" s="5" t="s">
        <v>54</v>
      </c>
      <c r="B10" s="5" t="s">
        <v>53</v>
      </c>
      <c r="C10" s="5" t="s">
        <v>78</v>
      </c>
      <c r="D10" s="10">
        <v>45963</v>
      </c>
      <c r="E10" s="11">
        <f>AVGO!B6</f>
        <v>63887</v>
      </c>
      <c r="F10" s="11">
        <f>AVGO!B8</f>
        <v>43294</v>
      </c>
      <c r="G10" s="11">
        <f>AVGO!B15</f>
        <v>25484</v>
      </c>
      <c r="H10" s="11">
        <f>AVGO!B31</f>
        <v>34120</v>
      </c>
      <c r="I10" s="11">
        <f>AVGO!B22</f>
        <v>23126</v>
      </c>
      <c r="J10" s="12">
        <f>AVGO!B8/AVGO!B6</f>
        <v>0.67766525271181932</v>
      </c>
      <c r="K10" s="12">
        <f>AVGO!B15/AVGO!B6</f>
        <v>0.39889179332258518</v>
      </c>
      <c r="L10" s="12">
        <f>AVGO!B31/AVGO!B6</f>
        <v>0.53406796374849341</v>
      </c>
      <c r="M10" s="12">
        <f>AVGO!B22/AVGO!B6</f>
        <v>0.36198287601546481</v>
      </c>
      <c r="N10" s="11">
        <f>AVGO!B59</f>
        <v>16178</v>
      </c>
      <c r="O10" s="11">
        <f>AVGO!B58</f>
        <v>65136</v>
      </c>
      <c r="P10" s="11">
        <f>AVGO!B45</f>
        <v>171092</v>
      </c>
      <c r="Q10" s="11">
        <f>AVGO!B54</f>
        <v>81292</v>
      </c>
    </row>
    <row r="11" spans="1:17" x14ac:dyDescent="0.35">
      <c r="A11" s="5" t="s">
        <v>59</v>
      </c>
      <c r="B11" s="5" t="s">
        <v>58</v>
      </c>
      <c r="C11" s="5" t="s">
        <v>78</v>
      </c>
      <c r="D11" s="10">
        <v>46022</v>
      </c>
      <c r="E11" s="11">
        <f>NOW!B6</f>
        <v>13278</v>
      </c>
      <c r="F11" s="11">
        <f>NOW!B8</f>
        <v>10295</v>
      </c>
      <c r="G11" s="11">
        <f>NOW!B15</f>
        <v>1824</v>
      </c>
      <c r="H11" s="11">
        <f>NOW!B31</f>
        <v>2562</v>
      </c>
      <c r="I11" s="11">
        <f>NOW!B22</f>
        <v>1748</v>
      </c>
      <c r="J11" s="12">
        <f>NOW!B8/NOW!B6</f>
        <v>0.77534267208917007</v>
      </c>
      <c r="K11" s="12">
        <f>NOW!B15/NOW!B6</f>
        <v>0.13737008585630367</v>
      </c>
      <c r="L11" s="12">
        <f>NOW!B31/NOW!B6</f>
        <v>0.19295074559421599</v>
      </c>
      <c r="M11" s="12">
        <f>NOW!B22/NOW!B6</f>
        <v>0.13164633227895767</v>
      </c>
      <c r="N11" s="11">
        <f>NOW!B59</f>
        <v>6284</v>
      </c>
      <c r="O11" s="11">
        <f>NOW!B58</f>
        <v>1491</v>
      </c>
      <c r="P11" s="11">
        <f>NOW!B45</f>
        <v>26038</v>
      </c>
      <c r="Q11" s="11">
        <f>NOW!B54</f>
        <v>12964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9"/>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56" customWidth="1"/>
    <col min="2" max="2" width="16" customWidth="1"/>
    <col min="3" max="3" width="70" customWidth="1"/>
  </cols>
  <sheetData>
    <row r="1" spans="1:3" ht="18" x14ac:dyDescent="0.4">
      <c r="A1" s="7" t="s">
        <v>79</v>
      </c>
    </row>
    <row r="2" spans="1:3" x14ac:dyDescent="0.35">
      <c r="A2" s="13" t="s">
        <v>80</v>
      </c>
    </row>
    <row r="4" spans="1:3" x14ac:dyDescent="0.35">
      <c r="A4" s="14" t="s">
        <v>81</v>
      </c>
      <c r="B4" s="15" t="s">
        <v>27</v>
      </c>
      <c r="C4" s="14" t="s">
        <v>82</v>
      </c>
    </row>
    <row r="5" spans="1:3" x14ac:dyDescent="0.35">
      <c r="A5" s="16" t="s">
        <v>83</v>
      </c>
      <c r="B5" s="17"/>
      <c r="C5" s="17"/>
    </row>
    <row r="6" spans="1:3" x14ac:dyDescent="0.35">
      <c r="A6" s="18" t="s">
        <v>64</v>
      </c>
      <c r="B6" s="19">
        <v>716924</v>
      </c>
      <c r="C6" s="13" t="s">
        <v>84</v>
      </c>
    </row>
    <row r="7" spans="1:3" x14ac:dyDescent="0.35">
      <c r="A7" s="5" t="s">
        <v>85</v>
      </c>
      <c r="B7" s="20">
        <v>356414</v>
      </c>
      <c r="C7" s="13" t="s">
        <v>86</v>
      </c>
    </row>
    <row r="8" spans="1:3" x14ac:dyDescent="0.35">
      <c r="A8" s="18" t="s">
        <v>65</v>
      </c>
      <c r="B8" s="21">
        <f>B6-B7</f>
        <v>360510</v>
      </c>
      <c r="C8" s="13" t="s">
        <v>87</v>
      </c>
    </row>
    <row r="9" spans="1:3" x14ac:dyDescent="0.35">
      <c r="A9" s="5" t="s">
        <v>88</v>
      </c>
      <c r="B9" s="20"/>
      <c r="C9" s="13" t="s">
        <v>89</v>
      </c>
    </row>
    <row r="10" spans="1:3" x14ac:dyDescent="0.35">
      <c r="A10" s="5" t="s">
        <v>90</v>
      </c>
      <c r="B10" s="22">
        <f>B11+B12</f>
        <v>58301</v>
      </c>
      <c r="C10" s="13" t="s">
        <v>87</v>
      </c>
    </row>
    <row r="11" spans="1:3" x14ac:dyDescent="0.35">
      <c r="A11" s="23" t="s">
        <v>91</v>
      </c>
      <c r="B11" s="20">
        <v>47129</v>
      </c>
      <c r="C11" s="13" t="s">
        <v>92</v>
      </c>
    </row>
    <row r="12" spans="1:3" x14ac:dyDescent="0.35">
      <c r="A12" s="23" t="s">
        <v>93</v>
      </c>
      <c r="B12" s="20">
        <v>11172</v>
      </c>
      <c r="C12" s="13" t="s">
        <v>94</v>
      </c>
    </row>
    <row r="13" spans="1:3" x14ac:dyDescent="0.35">
      <c r="A13" s="5" t="s">
        <v>95</v>
      </c>
      <c r="B13" s="22">
        <f>B6-B7-B9-B10-B15</f>
        <v>222234</v>
      </c>
      <c r="C13" s="13" t="s">
        <v>87</v>
      </c>
    </row>
    <row r="14" spans="1:3" x14ac:dyDescent="0.35">
      <c r="A14" s="5" t="s">
        <v>96</v>
      </c>
      <c r="B14" s="22">
        <f>B6-B15</f>
        <v>636949</v>
      </c>
      <c r="C14" s="13" t="s">
        <v>87</v>
      </c>
    </row>
    <row r="15" spans="1:3" x14ac:dyDescent="0.35">
      <c r="A15" s="18" t="s">
        <v>66</v>
      </c>
      <c r="B15" s="19">
        <v>79975</v>
      </c>
      <c r="C15" s="13" t="s">
        <v>97</v>
      </c>
    </row>
    <row r="16" spans="1:3" x14ac:dyDescent="0.35">
      <c r="A16" s="5" t="s">
        <v>98</v>
      </c>
      <c r="B16" s="22">
        <f>B19-B15</f>
        <v>17336</v>
      </c>
      <c r="C16" s="13" t="s">
        <v>87</v>
      </c>
    </row>
    <row r="17" spans="1:3" x14ac:dyDescent="0.35">
      <c r="A17" s="23" t="s">
        <v>99</v>
      </c>
      <c r="B17" s="20">
        <v>4381</v>
      </c>
      <c r="C17" s="13" t="s">
        <v>100</v>
      </c>
    </row>
    <row r="18" spans="1:3" x14ac:dyDescent="0.35">
      <c r="A18" s="23" t="s">
        <v>101</v>
      </c>
      <c r="B18" s="20">
        <v>2274</v>
      </c>
      <c r="C18" s="13" t="s">
        <v>102</v>
      </c>
    </row>
    <row r="19" spans="1:3" x14ac:dyDescent="0.35">
      <c r="A19" s="18" t="s">
        <v>103</v>
      </c>
      <c r="B19" s="19">
        <v>97311</v>
      </c>
      <c r="C19" s="13" t="s">
        <v>104</v>
      </c>
    </row>
    <row r="20" spans="1:3" x14ac:dyDescent="0.35">
      <c r="A20" s="5" t="s">
        <v>105</v>
      </c>
      <c r="B20" s="20">
        <v>19087</v>
      </c>
      <c r="C20" s="13" t="s">
        <v>106</v>
      </c>
    </row>
    <row r="21" spans="1:3" x14ac:dyDescent="0.35">
      <c r="A21" s="5" t="s">
        <v>107</v>
      </c>
      <c r="B21" s="22">
        <f>B22-B19+B20</f>
        <v>-554</v>
      </c>
      <c r="C21" s="13" t="s">
        <v>87</v>
      </c>
    </row>
    <row r="22" spans="1:3" x14ac:dyDescent="0.35">
      <c r="A22" s="18" t="s">
        <v>68</v>
      </c>
      <c r="B22" s="19">
        <v>77670</v>
      </c>
      <c r="C22" s="13" t="s">
        <v>108</v>
      </c>
    </row>
    <row r="23" spans="1:3" x14ac:dyDescent="0.35">
      <c r="A23" s="5" t="s">
        <v>109</v>
      </c>
      <c r="B23" s="24">
        <v>7.29</v>
      </c>
      <c r="C23" s="13" t="s">
        <v>110</v>
      </c>
    </row>
    <row r="24" spans="1:3" x14ac:dyDescent="0.35">
      <c r="A24" s="5" t="s">
        <v>111</v>
      </c>
      <c r="B24" s="24">
        <v>7.17</v>
      </c>
      <c r="C24" s="13" t="s">
        <v>112</v>
      </c>
    </row>
    <row r="25" spans="1:3" x14ac:dyDescent="0.35">
      <c r="A25" s="5" t="s">
        <v>113</v>
      </c>
      <c r="B25" s="20">
        <v>10656</v>
      </c>
      <c r="C25" s="13" t="s">
        <v>114</v>
      </c>
    </row>
    <row r="26" spans="1:3" x14ac:dyDescent="0.35">
      <c r="A26" s="5" t="s">
        <v>115</v>
      </c>
      <c r="B26" s="20">
        <v>10827</v>
      </c>
      <c r="C26" s="13" t="s">
        <v>116</v>
      </c>
    </row>
    <row r="27" spans="1:3" x14ac:dyDescent="0.35">
      <c r="A27" s="16" t="s">
        <v>117</v>
      </c>
      <c r="B27" s="17"/>
      <c r="C27" s="17"/>
    </row>
    <row r="28" spans="1:3" x14ac:dyDescent="0.35">
      <c r="A28" s="5" t="s">
        <v>118</v>
      </c>
      <c r="B28" s="20">
        <v>65756</v>
      </c>
      <c r="C28" s="13" t="s">
        <v>119</v>
      </c>
    </row>
    <row r="29" spans="1:3" x14ac:dyDescent="0.35">
      <c r="A29" s="5" t="s">
        <v>120</v>
      </c>
      <c r="B29" s="20">
        <v>817</v>
      </c>
      <c r="C29" s="13" t="s">
        <v>121</v>
      </c>
    </row>
    <row r="30" spans="1:3" x14ac:dyDescent="0.35">
      <c r="A30" s="5" t="s">
        <v>122</v>
      </c>
      <c r="B30" s="20">
        <v>19467</v>
      </c>
      <c r="C30" s="13" t="s">
        <v>123</v>
      </c>
    </row>
    <row r="31" spans="1:3" x14ac:dyDescent="0.35">
      <c r="A31" s="18" t="s">
        <v>124</v>
      </c>
      <c r="B31" s="21">
        <f>B15+B28</f>
        <v>145731</v>
      </c>
      <c r="C31" s="13" t="s">
        <v>87</v>
      </c>
    </row>
    <row r="33" spans="1:3" x14ac:dyDescent="0.35">
      <c r="A33" s="16" t="s">
        <v>125</v>
      </c>
      <c r="B33" s="17"/>
      <c r="C33" s="17"/>
    </row>
    <row r="34" spans="1:3" x14ac:dyDescent="0.35">
      <c r="A34" s="5" t="s">
        <v>126</v>
      </c>
      <c r="B34" s="20">
        <v>86810</v>
      </c>
      <c r="C34" s="13" t="s">
        <v>127</v>
      </c>
    </row>
    <row r="35" spans="1:3" x14ac:dyDescent="0.35">
      <c r="A35" s="5" t="s">
        <v>128</v>
      </c>
      <c r="B35" s="20">
        <v>36219</v>
      </c>
      <c r="C35" s="13" t="s">
        <v>129</v>
      </c>
    </row>
    <row r="36" spans="1:3" x14ac:dyDescent="0.35">
      <c r="A36" s="5" t="s">
        <v>130</v>
      </c>
      <c r="B36" s="20">
        <v>67729</v>
      </c>
      <c r="C36" s="13" t="s">
        <v>131</v>
      </c>
    </row>
    <row r="37" spans="1:3" x14ac:dyDescent="0.35">
      <c r="A37" s="5" t="s">
        <v>132</v>
      </c>
      <c r="B37" s="20">
        <v>38325</v>
      </c>
      <c r="C37" s="13" t="s">
        <v>133</v>
      </c>
    </row>
    <row r="38" spans="1:3" x14ac:dyDescent="0.35">
      <c r="A38" s="5" t="s">
        <v>134</v>
      </c>
      <c r="B38" s="22">
        <f>B39-B34-B35-B36-B37</f>
        <v>0</v>
      </c>
      <c r="C38" s="13" t="s">
        <v>87</v>
      </c>
    </row>
    <row r="39" spans="1:3" x14ac:dyDescent="0.35">
      <c r="A39" s="18" t="s">
        <v>135</v>
      </c>
      <c r="B39" s="19">
        <v>229083</v>
      </c>
      <c r="C39" s="13" t="s">
        <v>136</v>
      </c>
    </row>
    <row r="40" spans="1:3" x14ac:dyDescent="0.35">
      <c r="A40" s="5" t="s">
        <v>137</v>
      </c>
      <c r="B40" s="20">
        <v>357025</v>
      </c>
      <c r="C40" s="13" t="s">
        <v>138</v>
      </c>
    </row>
    <row r="41" spans="1:3" x14ac:dyDescent="0.35">
      <c r="A41" s="5" t="s">
        <v>139</v>
      </c>
      <c r="B41" s="20">
        <v>86054</v>
      </c>
      <c r="C41" s="13" t="s">
        <v>140</v>
      </c>
    </row>
    <row r="42" spans="1:3" x14ac:dyDescent="0.35">
      <c r="A42" s="5" t="s">
        <v>141</v>
      </c>
      <c r="B42" s="20">
        <v>23273</v>
      </c>
      <c r="C42" s="13" t="s">
        <v>141</v>
      </c>
    </row>
    <row r="43" spans="1:3" x14ac:dyDescent="0.35">
      <c r="A43" s="5" t="s">
        <v>142</v>
      </c>
      <c r="B43" s="20">
        <v>9197</v>
      </c>
      <c r="C43" s="13" t="s">
        <v>143</v>
      </c>
    </row>
    <row r="44" spans="1:3" x14ac:dyDescent="0.35">
      <c r="A44" s="5" t="s">
        <v>144</v>
      </c>
      <c r="B44" s="22">
        <f>B45-B39-B40-B41-B42-B43</f>
        <v>113410</v>
      </c>
      <c r="C44" s="13" t="s">
        <v>87</v>
      </c>
    </row>
    <row r="45" spans="1:3" x14ac:dyDescent="0.35">
      <c r="A45" s="18" t="s">
        <v>75</v>
      </c>
      <c r="B45" s="19">
        <v>818042</v>
      </c>
      <c r="C45" s="13" t="s">
        <v>145</v>
      </c>
    </row>
    <row r="46" spans="1:3" x14ac:dyDescent="0.35">
      <c r="A46" s="5" t="s">
        <v>146</v>
      </c>
      <c r="B46" s="20">
        <v>121909</v>
      </c>
      <c r="C46" s="13" t="s">
        <v>147</v>
      </c>
    </row>
    <row r="47" spans="1:3" x14ac:dyDescent="0.35">
      <c r="A47" s="5" t="s">
        <v>148</v>
      </c>
      <c r="B47" s="20">
        <v>20576</v>
      </c>
      <c r="C47" s="13" t="s">
        <v>149</v>
      </c>
    </row>
    <row r="48" spans="1:3" x14ac:dyDescent="0.35">
      <c r="A48" s="5" t="s">
        <v>150</v>
      </c>
      <c r="B48" s="20">
        <v>3203</v>
      </c>
      <c r="C48" s="13" t="s">
        <v>151</v>
      </c>
    </row>
    <row r="49" spans="1:3" x14ac:dyDescent="0.35">
      <c r="A49" s="5" t="s">
        <v>152</v>
      </c>
      <c r="B49" s="22">
        <f>B50-B46-B47-B48</f>
        <v>72317</v>
      </c>
      <c r="C49" s="13" t="s">
        <v>87</v>
      </c>
    </row>
    <row r="50" spans="1:3" x14ac:dyDescent="0.35">
      <c r="A50" s="18" t="s">
        <v>153</v>
      </c>
      <c r="B50" s="19">
        <v>218005</v>
      </c>
      <c r="C50" s="13" t="s">
        <v>154</v>
      </c>
    </row>
    <row r="51" spans="1:3" x14ac:dyDescent="0.35">
      <c r="A51" s="5" t="s">
        <v>155</v>
      </c>
      <c r="B51" s="20">
        <v>65648</v>
      </c>
      <c r="C51" s="13" t="s">
        <v>156</v>
      </c>
    </row>
    <row r="52" spans="1:3" x14ac:dyDescent="0.35">
      <c r="A52" s="5" t="s">
        <v>157</v>
      </c>
      <c r="B52" s="22">
        <f>B53-B50-B51</f>
        <v>123324</v>
      </c>
      <c r="C52" s="13" t="s">
        <v>87</v>
      </c>
    </row>
    <row r="53" spans="1:3" x14ac:dyDescent="0.35">
      <c r="A53" s="18" t="s">
        <v>158</v>
      </c>
      <c r="B53" s="21">
        <f>B55-B54</f>
        <v>406977</v>
      </c>
      <c r="C53" s="13" t="s">
        <v>87</v>
      </c>
    </row>
    <row r="54" spans="1:3" x14ac:dyDescent="0.35">
      <c r="A54" s="18" t="s">
        <v>159</v>
      </c>
      <c r="B54" s="19">
        <v>411065</v>
      </c>
      <c r="C54" s="13" t="s">
        <v>160</v>
      </c>
    </row>
    <row r="55" spans="1:3" x14ac:dyDescent="0.35">
      <c r="A55" s="18" t="s">
        <v>161</v>
      </c>
      <c r="B55" s="19">
        <v>818042</v>
      </c>
      <c r="C55" s="13" t="s">
        <v>162</v>
      </c>
    </row>
    <row r="56" spans="1:3" x14ac:dyDescent="0.35">
      <c r="A56" s="5" t="s">
        <v>163</v>
      </c>
      <c r="B56" s="22">
        <f>B45-B55</f>
        <v>0</v>
      </c>
      <c r="C56" s="13" t="s">
        <v>87</v>
      </c>
    </row>
    <row r="57" spans="1:3" x14ac:dyDescent="0.35">
      <c r="A57" s="16" t="s">
        <v>117</v>
      </c>
      <c r="B57" s="17"/>
      <c r="C57" s="17"/>
    </row>
    <row r="58" spans="1:3" x14ac:dyDescent="0.35">
      <c r="A58" s="5" t="s">
        <v>164</v>
      </c>
      <c r="B58" s="22">
        <f>B48+B51</f>
        <v>68851</v>
      </c>
      <c r="C58" s="13" t="s">
        <v>87</v>
      </c>
    </row>
    <row r="59" spans="1:3" x14ac:dyDescent="0.35">
      <c r="A59" s="5" t="s">
        <v>165</v>
      </c>
      <c r="B59" s="22">
        <f>B34+B35</f>
        <v>123029</v>
      </c>
      <c r="C59" s="13" t="s">
        <v>87</v>
      </c>
    </row>
    <row r="60" spans="1:3" x14ac:dyDescent="0.35">
      <c r="A60" s="5" t="s">
        <v>166</v>
      </c>
      <c r="B60" s="22">
        <f>B58-B59</f>
        <v>-54178</v>
      </c>
      <c r="C60" s="13" t="s">
        <v>87</v>
      </c>
    </row>
    <row r="61" spans="1:3" x14ac:dyDescent="0.35">
      <c r="A61" s="5" t="s">
        <v>167</v>
      </c>
      <c r="B61" s="20">
        <v>10731</v>
      </c>
      <c r="C61" s="13" t="s">
        <v>168</v>
      </c>
    </row>
    <row r="63" spans="1:3" x14ac:dyDescent="0.35">
      <c r="A63" s="16" t="s">
        <v>169</v>
      </c>
      <c r="B63" s="17"/>
      <c r="C63" s="17"/>
    </row>
    <row r="64" spans="1:3" x14ac:dyDescent="0.35">
      <c r="A64" s="5" t="s">
        <v>68</v>
      </c>
      <c r="B64" s="22">
        <f>B22</f>
        <v>77670</v>
      </c>
      <c r="C64" s="13" t="s">
        <v>87</v>
      </c>
    </row>
    <row r="65" spans="1:3" x14ac:dyDescent="0.35">
      <c r="A65" s="5" t="s">
        <v>118</v>
      </c>
      <c r="B65" s="22">
        <f>B28</f>
        <v>65756</v>
      </c>
      <c r="C65" s="13" t="s">
        <v>87</v>
      </c>
    </row>
    <row r="66" spans="1:3" x14ac:dyDescent="0.35">
      <c r="A66" s="5" t="s">
        <v>122</v>
      </c>
      <c r="B66" s="22">
        <f>B30</f>
        <v>19467</v>
      </c>
      <c r="C66" s="13" t="s">
        <v>87</v>
      </c>
    </row>
    <row r="67" spans="1:3" x14ac:dyDescent="0.35">
      <c r="A67" s="5" t="s">
        <v>170</v>
      </c>
      <c r="B67" s="22">
        <f>B68-B64-B65-B66</f>
        <v>-23379</v>
      </c>
      <c r="C67" s="13" t="s">
        <v>87</v>
      </c>
    </row>
    <row r="68" spans="1:3" x14ac:dyDescent="0.35">
      <c r="A68" s="18" t="s">
        <v>171</v>
      </c>
      <c r="B68" s="19">
        <v>139514</v>
      </c>
      <c r="C68" s="13" t="s">
        <v>172</v>
      </c>
    </row>
    <row r="69" spans="1:3" x14ac:dyDescent="0.35">
      <c r="A69" s="5" t="s">
        <v>173</v>
      </c>
      <c r="B69" s="20">
        <v>-131819</v>
      </c>
      <c r="C69" s="13" t="s">
        <v>174</v>
      </c>
    </row>
    <row r="70" spans="1:3" x14ac:dyDescent="0.35">
      <c r="A70" s="5" t="s">
        <v>175</v>
      </c>
      <c r="B70" s="22">
        <f>B71-B69</f>
        <v>-10726</v>
      </c>
      <c r="C70" s="13" t="s">
        <v>87</v>
      </c>
    </row>
    <row r="71" spans="1:3" x14ac:dyDescent="0.35">
      <c r="A71" s="18" t="s">
        <v>176</v>
      </c>
      <c r="B71" s="19">
        <v>-142545</v>
      </c>
      <c r="C71" s="13" t="s">
        <v>177</v>
      </c>
    </row>
    <row r="72" spans="1:3" x14ac:dyDescent="0.35">
      <c r="A72" s="5" t="s">
        <v>178</v>
      </c>
      <c r="B72" s="20"/>
      <c r="C72" s="13" t="s">
        <v>89</v>
      </c>
    </row>
    <row r="73" spans="1:3" x14ac:dyDescent="0.35">
      <c r="A73" s="5" t="s">
        <v>179</v>
      </c>
      <c r="B73" s="20"/>
      <c r="C73" s="13" t="s">
        <v>89</v>
      </c>
    </row>
    <row r="74" spans="1:3" x14ac:dyDescent="0.35">
      <c r="A74" s="5" t="s">
        <v>180</v>
      </c>
      <c r="B74" s="22">
        <f>B75-B72-B73</f>
        <v>9661</v>
      </c>
      <c r="C74" s="13" t="s">
        <v>87</v>
      </c>
    </row>
    <row r="75" spans="1:3" x14ac:dyDescent="0.35">
      <c r="A75" s="18" t="s">
        <v>181</v>
      </c>
      <c r="B75" s="19">
        <v>9661</v>
      </c>
      <c r="C75" s="13" t="s">
        <v>182</v>
      </c>
    </row>
    <row r="76" spans="1:3" x14ac:dyDescent="0.35">
      <c r="A76" s="5" t="s">
        <v>183</v>
      </c>
      <c r="B76" s="20">
        <v>1164</v>
      </c>
      <c r="C76" s="13" t="s">
        <v>184</v>
      </c>
    </row>
    <row r="77" spans="1:3" x14ac:dyDescent="0.35">
      <c r="A77" s="18" t="s">
        <v>185</v>
      </c>
      <c r="B77" s="21">
        <f>B68+B71+B75+B76</f>
        <v>7794</v>
      </c>
      <c r="C77" s="13" t="s">
        <v>87</v>
      </c>
    </row>
    <row r="78" spans="1:3" x14ac:dyDescent="0.35">
      <c r="A78" s="16" t="s">
        <v>117</v>
      </c>
      <c r="B78" s="17"/>
      <c r="C78" s="17"/>
    </row>
    <row r="79" spans="1:3" x14ac:dyDescent="0.35">
      <c r="A79" s="18" t="s">
        <v>186</v>
      </c>
      <c r="B79" s="21">
        <f>B68+B69</f>
        <v>7695</v>
      </c>
      <c r="C79" s="13" t="s">
        <v>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9"/>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56" customWidth="1"/>
    <col min="2" max="2" width="16" customWidth="1"/>
    <col min="3" max="3" width="70" customWidth="1"/>
  </cols>
  <sheetData>
    <row r="1" spans="1:3" ht="18" x14ac:dyDescent="0.4">
      <c r="A1" s="7" t="s">
        <v>187</v>
      </c>
    </row>
    <row r="2" spans="1:3" x14ac:dyDescent="0.35">
      <c r="A2" s="13" t="s">
        <v>188</v>
      </c>
    </row>
    <row r="4" spans="1:3" x14ac:dyDescent="0.35">
      <c r="A4" s="14" t="s">
        <v>81</v>
      </c>
      <c r="B4" s="15" t="s">
        <v>32</v>
      </c>
      <c r="C4" s="14" t="s">
        <v>82</v>
      </c>
    </row>
    <row r="5" spans="1:3" x14ac:dyDescent="0.35">
      <c r="A5" s="16" t="s">
        <v>83</v>
      </c>
      <c r="B5" s="17"/>
      <c r="C5" s="17"/>
    </row>
    <row r="6" spans="1:3" x14ac:dyDescent="0.35">
      <c r="A6" s="18" t="s">
        <v>64</v>
      </c>
      <c r="B6" s="19">
        <v>281724</v>
      </c>
      <c r="C6" s="13" t="s">
        <v>84</v>
      </c>
    </row>
    <row r="7" spans="1:3" x14ac:dyDescent="0.35">
      <c r="A7" s="5" t="s">
        <v>85</v>
      </c>
      <c r="B7" s="20">
        <v>87831</v>
      </c>
      <c r="C7" s="13" t="s">
        <v>86</v>
      </c>
    </row>
    <row r="8" spans="1:3" x14ac:dyDescent="0.35">
      <c r="A8" s="18" t="s">
        <v>65</v>
      </c>
      <c r="B8" s="19">
        <v>193893</v>
      </c>
      <c r="C8" s="13" t="s">
        <v>189</v>
      </c>
    </row>
    <row r="9" spans="1:3" x14ac:dyDescent="0.35">
      <c r="A9" s="5" t="s">
        <v>88</v>
      </c>
      <c r="B9" s="20">
        <v>32488</v>
      </c>
      <c r="C9" s="13" t="s">
        <v>190</v>
      </c>
    </row>
    <row r="10" spans="1:3" x14ac:dyDescent="0.35">
      <c r="A10" s="5" t="s">
        <v>90</v>
      </c>
      <c r="B10" s="22">
        <f>B11+B12</f>
        <v>32877</v>
      </c>
      <c r="C10" s="13" t="s">
        <v>87</v>
      </c>
    </row>
    <row r="11" spans="1:3" x14ac:dyDescent="0.35">
      <c r="A11" s="23" t="s">
        <v>91</v>
      </c>
      <c r="B11" s="20">
        <v>25654</v>
      </c>
      <c r="C11" s="13" t="s">
        <v>191</v>
      </c>
    </row>
    <row r="12" spans="1:3" x14ac:dyDescent="0.35">
      <c r="A12" s="23" t="s">
        <v>93</v>
      </c>
      <c r="B12" s="20">
        <v>7223</v>
      </c>
      <c r="C12" s="13" t="s">
        <v>94</v>
      </c>
    </row>
    <row r="13" spans="1:3" x14ac:dyDescent="0.35">
      <c r="A13" s="5" t="s">
        <v>95</v>
      </c>
      <c r="B13" s="22">
        <f>B6-B7-B9-B10-B15</f>
        <v>0</v>
      </c>
      <c r="C13" s="13" t="s">
        <v>87</v>
      </c>
    </row>
    <row r="14" spans="1:3" x14ac:dyDescent="0.35">
      <c r="A14" s="5" t="s">
        <v>96</v>
      </c>
      <c r="B14" s="22">
        <f>B6-B15</f>
        <v>153196</v>
      </c>
      <c r="C14" s="13" t="s">
        <v>87</v>
      </c>
    </row>
    <row r="15" spans="1:3" x14ac:dyDescent="0.35">
      <c r="A15" s="18" t="s">
        <v>66</v>
      </c>
      <c r="B15" s="19">
        <v>128528</v>
      </c>
      <c r="C15" s="13" t="s">
        <v>97</v>
      </c>
    </row>
    <row r="16" spans="1:3" x14ac:dyDescent="0.35">
      <c r="A16" s="5" t="s">
        <v>98</v>
      </c>
      <c r="B16" s="22">
        <f>B19-B15</f>
        <v>-4901</v>
      </c>
      <c r="C16" s="13" t="s">
        <v>87</v>
      </c>
    </row>
    <row r="17" spans="1:3" x14ac:dyDescent="0.35">
      <c r="A17" s="23" t="s">
        <v>99</v>
      </c>
      <c r="B17" s="20">
        <v>2647</v>
      </c>
      <c r="C17" s="13" t="s">
        <v>192</v>
      </c>
    </row>
    <row r="18" spans="1:3" x14ac:dyDescent="0.35">
      <c r="A18" s="23" t="s">
        <v>101</v>
      </c>
      <c r="B18" s="20">
        <v>2385</v>
      </c>
      <c r="C18" s="13" t="s">
        <v>102</v>
      </c>
    </row>
    <row r="19" spans="1:3" x14ac:dyDescent="0.35">
      <c r="A19" s="18" t="s">
        <v>103</v>
      </c>
      <c r="B19" s="19">
        <v>123627</v>
      </c>
      <c r="C19" s="13" t="s">
        <v>193</v>
      </c>
    </row>
    <row r="20" spans="1:3" x14ac:dyDescent="0.35">
      <c r="A20" s="5" t="s">
        <v>105</v>
      </c>
      <c r="B20" s="20">
        <v>21795</v>
      </c>
      <c r="C20" s="13" t="s">
        <v>106</v>
      </c>
    </row>
    <row r="21" spans="1:3" x14ac:dyDescent="0.35">
      <c r="A21" s="5" t="s">
        <v>107</v>
      </c>
      <c r="B21" s="22">
        <f>B22-B19+B20</f>
        <v>0</v>
      </c>
      <c r="C21" s="13" t="s">
        <v>87</v>
      </c>
    </row>
    <row r="22" spans="1:3" x14ac:dyDescent="0.35">
      <c r="A22" s="18" t="s">
        <v>68</v>
      </c>
      <c r="B22" s="19">
        <v>101832</v>
      </c>
      <c r="C22" s="13" t="s">
        <v>108</v>
      </c>
    </row>
    <row r="23" spans="1:3" x14ac:dyDescent="0.35">
      <c r="A23" s="5" t="s">
        <v>109</v>
      </c>
      <c r="B23" s="24">
        <v>13.7</v>
      </c>
      <c r="C23" s="13" t="s">
        <v>110</v>
      </c>
    </row>
    <row r="24" spans="1:3" x14ac:dyDescent="0.35">
      <c r="A24" s="5" t="s">
        <v>111</v>
      </c>
      <c r="B24" s="24">
        <v>13.64</v>
      </c>
      <c r="C24" s="13" t="s">
        <v>112</v>
      </c>
    </row>
    <row r="25" spans="1:3" x14ac:dyDescent="0.35">
      <c r="A25" s="5" t="s">
        <v>113</v>
      </c>
      <c r="B25" s="20">
        <v>7433</v>
      </c>
      <c r="C25" s="13" t="s">
        <v>114</v>
      </c>
    </row>
    <row r="26" spans="1:3" x14ac:dyDescent="0.35">
      <c r="A26" s="5" t="s">
        <v>115</v>
      </c>
      <c r="B26" s="20">
        <v>7465</v>
      </c>
      <c r="C26" s="13" t="s">
        <v>116</v>
      </c>
    </row>
    <row r="27" spans="1:3" x14ac:dyDescent="0.35">
      <c r="A27" s="16" t="s">
        <v>117</v>
      </c>
      <c r="B27" s="17"/>
      <c r="C27" s="17"/>
    </row>
    <row r="28" spans="1:3" x14ac:dyDescent="0.35">
      <c r="A28" s="5" t="s">
        <v>118</v>
      </c>
      <c r="B28" s="20">
        <v>28000</v>
      </c>
      <c r="C28" s="13" t="s">
        <v>194</v>
      </c>
    </row>
    <row r="29" spans="1:3" x14ac:dyDescent="0.35">
      <c r="A29" s="5" t="s">
        <v>120</v>
      </c>
      <c r="B29" s="20">
        <v>6000</v>
      </c>
      <c r="C29" s="13" t="s">
        <v>121</v>
      </c>
    </row>
    <row r="30" spans="1:3" x14ac:dyDescent="0.35">
      <c r="A30" s="5" t="s">
        <v>122</v>
      </c>
      <c r="B30" s="20">
        <v>11974</v>
      </c>
      <c r="C30" s="13" t="s">
        <v>123</v>
      </c>
    </row>
    <row r="31" spans="1:3" x14ac:dyDescent="0.35">
      <c r="A31" s="18" t="s">
        <v>124</v>
      </c>
      <c r="B31" s="21">
        <f>B15+B28</f>
        <v>156528</v>
      </c>
      <c r="C31" s="13" t="s">
        <v>87</v>
      </c>
    </row>
    <row r="33" spans="1:3" x14ac:dyDescent="0.35">
      <c r="A33" s="16" t="s">
        <v>125</v>
      </c>
      <c r="B33" s="17"/>
      <c r="C33" s="17"/>
    </row>
    <row r="34" spans="1:3" x14ac:dyDescent="0.35">
      <c r="A34" s="5" t="s">
        <v>126</v>
      </c>
      <c r="B34" s="20">
        <v>30242</v>
      </c>
      <c r="C34" s="13" t="s">
        <v>127</v>
      </c>
    </row>
    <row r="35" spans="1:3" x14ac:dyDescent="0.35">
      <c r="A35" s="5" t="s">
        <v>128</v>
      </c>
      <c r="B35" s="20">
        <v>64323</v>
      </c>
      <c r="C35" s="13" t="s">
        <v>195</v>
      </c>
    </row>
    <row r="36" spans="1:3" x14ac:dyDescent="0.35">
      <c r="A36" s="5" t="s">
        <v>130</v>
      </c>
      <c r="B36" s="20">
        <v>69905</v>
      </c>
      <c r="C36" s="13" t="s">
        <v>131</v>
      </c>
    </row>
    <row r="37" spans="1:3" x14ac:dyDescent="0.35">
      <c r="A37" s="5" t="s">
        <v>132</v>
      </c>
      <c r="B37" s="20">
        <v>938</v>
      </c>
      <c r="C37" s="13" t="s">
        <v>133</v>
      </c>
    </row>
    <row r="38" spans="1:3" x14ac:dyDescent="0.35">
      <c r="A38" s="5" t="s">
        <v>134</v>
      </c>
      <c r="B38" s="22">
        <f>B39-B34-B35-B36-B37</f>
        <v>25723</v>
      </c>
      <c r="C38" s="13" t="s">
        <v>87</v>
      </c>
    </row>
    <row r="39" spans="1:3" x14ac:dyDescent="0.35">
      <c r="A39" s="18" t="s">
        <v>135</v>
      </c>
      <c r="B39" s="19">
        <v>191131</v>
      </c>
      <c r="C39" s="13" t="s">
        <v>136</v>
      </c>
    </row>
    <row r="40" spans="1:3" x14ac:dyDescent="0.35">
      <c r="A40" s="5" t="s">
        <v>137</v>
      </c>
      <c r="B40" s="20">
        <v>204966</v>
      </c>
      <c r="C40" s="13" t="s">
        <v>138</v>
      </c>
    </row>
    <row r="41" spans="1:3" x14ac:dyDescent="0.35">
      <c r="A41" s="5" t="s">
        <v>139</v>
      </c>
      <c r="B41" s="20">
        <v>24823</v>
      </c>
      <c r="C41" s="13" t="s">
        <v>140</v>
      </c>
    </row>
    <row r="42" spans="1:3" x14ac:dyDescent="0.35">
      <c r="A42" s="5" t="s">
        <v>141</v>
      </c>
      <c r="B42" s="20">
        <v>119509</v>
      </c>
      <c r="C42" s="13" t="s">
        <v>141</v>
      </c>
    </row>
    <row r="43" spans="1:3" x14ac:dyDescent="0.35">
      <c r="A43" s="5" t="s">
        <v>142</v>
      </c>
      <c r="B43" s="20">
        <v>22604</v>
      </c>
      <c r="C43" s="13" t="s">
        <v>196</v>
      </c>
    </row>
    <row r="44" spans="1:3" x14ac:dyDescent="0.35">
      <c r="A44" s="5" t="s">
        <v>144</v>
      </c>
      <c r="B44" s="22">
        <f>B45-B39-B40-B41-B42-B43</f>
        <v>55970</v>
      </c>
      <c r="C44" s="13" t="s">
        <v>87</v>
      </c>
    </row>
    <row r="45" spans="1:3" x14ac:dyDescent="0.35">
      <c r="A45" s="18" t="s">
        <v>75</v>
      </c>
      <c r="B45" s="19">
        <v>619003</v>
      </c>
      <c r="C45" s="13" t="s">
        <v>145</v>
      </c>
    </row>
    <row r="46" spans="1:3" x14ac:dyDescent="0.35">
      <c r="A46" s="5" t="s">
        <v>146</v>
      </c>
      <c r="B46" s="20">
        <v>27724</v>
      </c>
      <c r="C46" s="13" t="s">
        <v>147</v>
      </c>
    </row>
    <row r="47" spans="1:3" x14ac:dyDescent="0.35">
      <c r="A47" s="5" t="s">
        <v>148</v>
      </c>
      <c r="B47" s="20">
        <v>64555</v>
      </c>
      <c r="C47" s="13" t="s">
        <v>149</v>
      </c>
    </row>
    <row r="48" spans="1:3" x14ac:dyDescent="0.35">
      <c r="A48" s="5" t="s">
        <v>150</v>
      </c>
      <c r="B48" s="20">
        <v>2999</v>
      </c>
      <c r="C48" s="13" t="s">
        <v>197</v>
      </c>
    </row>
    <row r="49" spans="1:3" x14ac:dyDescent="0.35">
      <c r="A49" s="5" t="s">
        <v>152</v>
      </c>
      <c r="B49" s="22">
        <f>B50-B46-B47-B48</f>
        <v>45940</v>
      </c>
      <c r="C49" s="13" t="s">
        <v>87</v>
      </c>
    </row>
    <row r="50" spans="1:3" x14ac:dyDescent="0.35">
      <c r="A50" s="18" t="s">
        <v>153</v>
      </c>
      <c r="B50" s="19">
        <v>141218</v>
      </c>
      <c r="C50" s="13" t="s">
        <v>154</v>
      </c>
    </row>
    <row r="51" spans="1:3" x14ac:dyDescent="0.35">
      <c r="A51" s="5" t="s">
        <v>155</v>
      </c>
      <c r="B51" s="20">
        <v>40152</v>
      </c>
      <c r="C51" s="13" t="s">
        <v>156</v>
      </c>
    </row>
    <row r="52" spans="1:3" x14ac:dyDescent="0.35">
      <c r="A52" s="5" t="s">
        <v>157</v>
      </c>
      <c r="B52" s="22">
        <f>B53-B50-B51</f>
        <v>94154</v>
      </c>
      <c r="C52" s="13" t="s">
        <v>87</v>
      </c>
    </row>
    <row r="53" spans="1:3" x14ac:dyDescent="0.35">
      <c r="A53" s="18" t="s">
        <v>158</v>
      </c>
      <c r="B53" s="19">
        <v>275524</v>
      </c>
      <c r="C53" s="13" t="s">
        <v>198</v>
      </c>
    </row>
    <row r="54" spans="1:3" x14ac:dyDescent="0.35">
      <c r="A54" s="18" t="s">
        <v>159</v>
      </c>
      <c r="B54" s="19">
        <v>343479</v>
      </c>
      <c r="C54" s="13" t="s">
        <v>160</v>
      </c>
    </row>
    <row r="55" spans="1:3" x14ac:dyDescent="0.35">
      <c r="A55" s="18" t="s">
        <v>161</v>
      </c>
      <c r="B55" s="19">
        <v>619003</v>
      </c>
      <c r="C55" s="13" t="s">
        <v>162</v>
      </c>
    </row>
    <row r="56" spans="1:3" x14ac:dyDescent="0.35">
      <c r="A56" s="5" t="s">
        <v>163</v>
      </c>
      <c r="B56" s="22">
        <f>B45-B55</f>
        <v>0</v>
      </c>
      <c r="C56" s="13" t="s">
        <v>87</v>
      </c>
    </row>
    <row r="57" spans="1:3" x14ac:dyDescent="0.35">
      <c r="A57" s="16" t="s">
        <v>117</v>
      </c>
      <c r="B57" s="17"/>
      <c r="C57" s="17"/>
    </row>
    <row r="58" spans="1:3" x14ac:dyDescent="0.35">
      <c r="A58" s="5" t="s">
        <v>164</v>
      </c>
      <c r="B58" s="22">
        <f>B48+B51</f>
        <v>43151</v>
      </c>
      <c r="C58" s="13" t="s">
        <v>87</v>
      </c>
    </row>
    <row r="59" spans="1:3" x14ac:dyDescent="0.35">
      <c r="A59" s="5" t="s">
        <v>165</v>
      </c>
      <c r="B59" s="22">
        <f>B34+B35</f>
        <v>94565</v>
      </c>
      <c r="C59" s="13" t="s">
        <v>87</v>
      </c>
    </row>
    <row r="60" spans="1:3" x14ac:dyDescent="0.35">
      <c r="A60" s="5" t="s">
        <v>166</v>
      </c>
      <c r="B60" s="22">
        <f>B58-B59</f>
        <v>-51414</v>
      </c>
      <c r="C60" s="13" t="s">
        <v>87</v>
      </c>
    </row>
    <row r="61" spans="1:3" x14ac:dyDescent="0.35">
      <c r="A61" s="5" t="s">
        <v>167</v>
      </c>
      <c r="B61" s="20">
        <v>7434</v>
      </c>
      <c r="C61" s="13" t="s">
        <v>168</v>
      </c>
    </row>
    <row r="63" spans="1:3" x14ac:dyDescent="0.35">
      <c r="A63" s="16" t="s">
        <v>169</v>
      </c>
      <c r="B63" s="17"/>
      <c r="C63" s="17"/>
    </row>
    <row r="64" spans="1:3" x14ac:dyDescent="0.35">
      <c r="A64" s="5" t="s">
        <v>68</v>
      </c>
      <c r="B64" s="22">
        <f>B22</f>
        <v>101832</v>
      </c>
      <c r="C64" s="13" t="s">
        <v>87</v>
      </c>
    </row>
    <row r="65" spans="1:3" x14ac:dyDescent="0.35">
      <c r="A65" s="5" t="s">
        <v>118</v>
      </c>
      <c r="B65" s="22">
        <f>B28</f>
        <v>28000</v>
      </c>
      <c r="C65" s="13" t="s">
        <v>87</v>
      </c>
    </row>
    <row r="66" spans="1:3" x14ac:dyDescent="0.35">
      <c r="A66" s="5" t="s">
        <v>122</v>
      </c>
      <c r="B66" s="22">
        <f>B30</f>
        <v>11974</v>
      </c>
      <c r="C66" s="13" t="s">
        <v>87</v>
      </c>
    </row>
    <row r="67" spans="1:3" x14ac:dyDescent="0.35">
      <c r="A67" s="5" t="s">
        <v>170</v>
      </c>
      <c r="B67" s="22">
        <f>B68-B64-B65-B66</f>
        <v>-5644</v>
      </c>
      <c r="C67" s="13" t="s">
        <v>87</v>
      </c>
    </row>
    <row r="68" spans="1:3" x14ac:dyDescent="0.35">
      <c r="A68" s="18" t="s">
        <v>171</v>
      </c>
      <c r="B68" s="19">
        <v>136162</v>
      </c>
      <c r="C68" s="13" t="s">
        <v>172</v>
      </c>
    </row>
    <row r="69" spans="1:3" x14ac:dyDescent="0.35">
      <c r="A69" s="5" t="s">
        <v>173</v>
      </c>
      <c r="B69" s="20">
        <v>-64551</v>
      </c>
      <c r="C69" s="13" t="s">
        <v>199</v>
      </c>
    </row>
    <row r="70" spans="1:3" x14ac:dyDescent="0.35">
      <c r="A70" s="5" t="s">
        <v>175</v>
      </c>
      <c r="B70" s="22">
        <f>B71-B69</f>
        <v>-8048</v>
      </c>
      <c r="C70" s="13" t="s">
        <v>87</v>
      </c>
    </row>
    <row r="71" spans="1:3" x14ac:dyDescent="0.35">
      <c r="A71" s="18" t="s">
        <v>176</v>
      </c>
      <c r="B71" s="19">
        <v>-72599</v>
      </c>
      <c r="C71" s="13" t="s">
        <v>177</v>
      </c>
    </row>
    <row r="72" spans="1:3" x14ac:dyDescent="0.35">
      <c r="A72" s="5" t="s">
        <v>178</v>
      </c>
      <c r="B72" s="20">
        <v>-18420</v>
      </c>
      <c r="C72" s="13" t="s">
        <v>200</v>
      </c>
    </row>
    <row r="73" spans="1:3" x14ac:dyDescent="0.35">
      <c r="A73" s="5" t="s">
        <v>179</v>
      </c>
      <c r="B73" s="20">
        <v>-24082</v>
      </c>
      <c r="C73" s="13" t="s">
        <v>201</v>
      </c>
    </row>
    <row r="74" spans="1:3" x14ac:dyDescent="0.35">
      <c r="A74" s="5" t="s">
        <v>180</v>
      </c>
      <c r="B74" s="22">
        <f>B75-B72-B73</f>
        <v>-9197</v>
      </c>
      <c r="C74" s="13" t="s">
        <v>87</v>
      </c>
    </row>
    <row r="75" spans="1:3" x14ac:dyDescent="0.35">
      <c r="A75" s="18" t="s">
        <v>181</v>
      </c>
      <c r="B75" s="19">
        <v>-51699</v>
      </c>
      <c r="C75" s="13" t="s">
        <v>182</v>
      </c>
    </row>
    <row r="76" spans="1:3" x14ac:dyDescent="0.35">
      <c r="A76" s="5" t="s">
        <v>183</v>
      </c>
      <c r="B76" s="20">
        <v>63</v>
      </c>
      <c r="C76" s="13" t="s">
        <v>184</v>
      </c>
    </row>
    <row r="77" spans="1:3" x14ac:dyDescent="0.35">
      <c r="A77" s="18" t="s">
        <v>185</v>
      </c>
      <c r="B77" s="21">
        <f>B68+B71+B75+B76</f>
        <v>11927</v>
      </c>
      <c r="C77" s="13" t="s">
        <v>87</v>
      </c>
    </row>
    <row r="78" spans="1:3" x14ac:dyDescent="0.35">
      <c r="A78" s="16" t="s">
        <v>117</v>
      </c>
      <c r="B78" s="17"/>
      <c r="C78" s="17"/>
    </row>
    <row r="79" spans="1:3" x14ac:dyDescent="0.35">
      <c r="A79" s="18" t="s">
        <v>186</v>
      </c>
      <c r="B79" s="21">
        <f>B68+B69</f>
        <v>71611</v>
      </c>
      <c r="C79" s="13" t="s">
        <v>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9"/>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56" customWidth="1"/>
    <col min="2" max="2" width="16" customWidth="1"/>
    <col min="3" max="3" width="70" customWidth="1"/>
  </cols>
  <sheetData>
    <row r="1" spans="1:3" ht="18" x14ac:dyDescent="0.4">
      <c r="A1" s="7" t="s">
        <v>202</v>
      </c>
    </row>
    <row r="2" spans="1:3" x14ac:dyDescent="0.35">
      <c r="A2" s="13" t="s">
        <v>203</v>
      </c>
    </row>
    <row r="4" spans="1:3" x14ac:dyDescent="0.35">
      <c r="A4" s="14" t="s">
        <v>81</v>
      </c>
      <c r="B4" s="15" t="s">
        <v>37</v>
      </c>
      <c r="C4" s="14" t="s">
        <v>82</v>
      </c>
    </row>
    <row r="5" spans="1:3" x14ac:dyDescent="0.35">
      <c r="A5" s="16" t="s">
        <v>83</v>
      </c>
      <c r="B5" s="17"/>
      <c r="C5" s="17"/>
    </row>
    <row r="6" spans="1:3" x14ac:dyDescent="0.35">
      <c r="A6" s="18" t="s">
        <v>64</v>
      </c>
      <c r="B6" s="19">
        <v>215938</v>
      </c>
      <c r="C6" s="13" t="s">
        <v>204</v>
      </c>
    </row>
    <row r="7" spans="1:3" x14ac:dyDescent="0.35">
      <c r="A7" s="5" t="s">
        <v>85</v>
      </c>
      <c r="B7" s="20">
        <v>62475</v>
      </c>
      <c r="C7" s="13" t="s">
        <v>205</v>
      </c>
    </row>
    <row r="8" spans="1:3" x14ac:dyDescent="0.35">
      <c r="A8" s="18" t="s">
        <v>65</v>
      </c>
      <c r="B8" s="19">
        <v>153463</v>
      </c>
      <c r="C8" s="13" t="s">
        <v>189</v>
      </c>
    </row>
    <row r="9" spans="1:3" x14ac:dyDescent="0.35">
      <c r="A9" s="5" t="s">
        <v>88</v>
      </c>
      <c r="B9" s="20">
        <v>18497</v>
      </c>
      <c r="C9" s="13" t="s">
        <v>190</v>
      </c>
    </row>
    <row r="10" spans="1:3" x14ac:dyDescent="0.35">
      <c r="A10" s="5" t="s">
        <v>90</v>
      </c>
      <c r="B10" s="20">
        <v>4579</v>
      </c>
      <c r="C10" s="13" t="s">
        <v>206</v>
      </c>
    </row>
    <row r="11" spans="1:3" x14ac:dyDescent="0.35">
      <c r="A11" s="23" t="s">
        <v>91</v>
      </c>
      <c r="B11" s="20"/>
      <c r="C11" s="13" t="s">
        <v>89</v>
      </c>
    </row>
    <row r="12" spans="1:3" x14ac:dyDescent="0.35">
      <c r="A12" s="23" t="s">
        <v>93</v>
      </c>
      <c r="B12" s="20"/>
      <c r="C12" s="13" t="s">
        <v>89</v>
      </c>
    </row>
    <row r="13" spans="1:3" x14ac:dyDescent="0.35">
      <c r="A13" s="5" t="s">
        <v>95</v>
      </c>
      <c r="B13" s="22">
        <f>B6-B7-B9-B10-B15</f>
        <v>0</v>
      </c>
      <c r="C13" s="13" t="s">
        <v>87</v>
      </c>
    </row>
    <row r="14" spans="1:3" x14ac:dyDescent="0.35">
      <c r="A14" s="5" t="s">
        <v>96</v>
      </c>
      <c r="B14" s="22">
        <f>B6-B15</f>
        <v>85551</v>
      </c>
      <c r="C14" s="13" t="s">
        <v>87</v>
      </c>
    </row>
    <row r="15" spans="1:3" x14ac:dyDescent="0.35">
      <c r="A15" s="18" t="s">
        <v>66</v>
      </c>
      <c r="B15" s="19">
        <v>130387</v>
      </c>
      <c r="C15" s="13" t="s">
        <v>97</v>
      </c>
    </row>
    <row r="16" spans="1:3" x14ac:dyDescent="0.35">
      <c r="A16" s="5" t="s">
        <v>98</v>
      </c>
      <c r="B16" s="22">
        <f>B19-B15</f>
        <v>11063</v>
      </c>
      <c r="C16" s="13" t="s">
        <v>87</v>
      </c>
    </row>
    <row r="17" spans="1:3" x14ac:dyDescent="0.35">
      <c r="A17" s="23" t="s">
        <v>99</v>
      </c>
      <c r="B17" s="20">
        <v>2300</v>
      </c>
      <c r="C17" s="13" t="s">
        <v>100</v>
      </c>
    </row>
    <row r="18" spans="1:3" x14ac:dyDescent="0.35">
      <c r="A18" s="23" t="s">
        <v>101</v>
      </c>
      <c r="B18" s="20">
        <v>259</v>
      </c>
      <c r="C18" s="13" t="s">
        <v>102</v>
      </c>
    </row>
    <row r="19" spans="1:3" x14ac:dyDescent="0.35">
      <c r="A19" s="18" t="s">
        <v>103</v>
      </c>
      <c r="B19" s="19">
        <v>141450</v>
      </c>
      <c r="C19" s="13" t="s">
        <v>193</v>
      </c>
    </row>
    <row r="20" spans="1:3" x14ac:dyDescent="0.35">
      <c r="A20" s="5" t="s">
        <v>105</v>
      </c>
      <c r="B20" s="20">
        <v>21383</v>
      </c>
      <c r="C20" s="13" t="s">
        <v>106</v>
      </c>
    </row>
    <row r="21" spans="1:3" x14ac:dyDescent="0.35">
      <c r="A21" s="5" t="s">
        <v>107</v>
      </c>
      <c r="B21" s="22">
        <f>B22-B19+B20</f>
        <v>0</v>
      </c>
      <c r="C21" s="13" t="s">
        <v>87</v>
      </c>
    </row>
    <row r="22" spans="1:3" x14ac:dyDescent="0.35">
      <c r="A22" s="18" t="s">
        <v>68</v>
      </c>
      <c r="B22" s="19">
        <v>120067</v>
      </c>
      <c r="C22" s="13" t="s">
        <v>108</v>
      </c>
    </row>
    <row r="23" spans="1:3" x14ac:dyDescent="0.35">
      <c r="A23" s="5" t="s">
        <v>109</v>
      </c>
      <c r="B23" s="24">
        <v>4.93</v>
      </c>
      <c r="C23" s="13" t="s">
        <v>110</v>
      </c>
    </row>
    <row r="24" spans="1:3" x14ac:dyDescent="0.35">
      <c r="A24" s="5" t="s">
        <v>111</v>
      </c>
      <c r="B24" s="24">
        <v>4.9000000000000004</v>
      </c>
      <c r="C24" s="13" t="s">
        <v>112</v>
      </c>
    </row>
    <row r="25" spans="1:3" x14ac:dyDescent="0.35">
      <c r="A25" s="5" t="s">
        <v>113</v>
      </c>
      <c r="B25" s="20">
        <v>24359</v>
      </c>
      <c r="C25" s="13" t="s">
        <v>114</v>
      </c>
    </row>
    <row r="26" spans="1:3" x14ac:dyDescent="0.35">
      <c r="A26" s="5" t="s">
        <v>115</v>
      </c>
      <c r="B26" s="20">
        <v>24514</v>
      </c>
      <c r="C26" s="13" t="s">
        <v>116</v>
      </c>
    </row>
    <row r="27" spans="1:3" x14ac:dyDescent="0.35">
      <c r="A27" s="16" t="s">
        <v>117</v>
      </c>
      <c r="B27" s="17"/>
      <c r="C27" s="17"/>
    </row>
    <row r="28" spans="1:3" x14ac:dyDescent="0.35">
      <c r="A28" s="5" t="s">
        <v>118</v>
      </c>
      <c r="B28" s="20">
        <v>2843</v>
      </c>
      <c r="C28" s="13" t="s">
        <v>119</v>
      </c>
    </row>
    <row r="29" spans="1:3" x14ac:dyDescent="0.35">
      <c r="A29" s="5" t="s">
        <v>120</v>
      </c>
      <c r="B29" s="20">
        <v>488</v>
      </c>
      <c r="C29" s="13" t="s">
        <v>121</v>
      </c>
    </row>
    <row r="30" spans="1:3" x14ac:dyDescent="0.35">
      <c r="A30" s="5" t="s">
        <v>122</v>
      </c>
      <c r="B30" s="20">
        <v>6386</v>
      </c>
      <c r="C30" s="13" t="s">
        <v>123</v>
      </c>
    </row>
    <row r="31" spans="1:3" x14ac:dyDescent="0.35">
      <c r="A31" s="18" t="s">
        <v>124</v>
      </c>
      <c r="B31" s="21">
        <f>B15+B28</f>
        <v>133230</v>
      </c>
      <c r="C31" s="13" t="s">
        <v>87</v>
      </c>
    </row>
    <row r="33" spans="1:3" x14ac:dyDescent="0.35">
      <c r="A33" s="16" t="s">
        <v>125</v>
      </c>
      <c r="B33" s="17"/>
      <c r="C33" s="17"/>
    </row>
    <row r="34" spans="1:3" x14ac:dyDescent="0.35">
      <c r="A34" s="5" t="s">
        <v>126</v>
      </c>
      <c r="B34" s="20">
        <v>10605</v>
      </c>
      <c r="C34" s="13" t="s">
        <v>127</v>
      </c>
    </row>
    <row r="35" spans="1:3" x14ac:dyDescent="0.35">
      <c r="A35" s="5" t="s">
        <v>128</v>
      </c>
      <c r="B35" s="20"/>
      <c r="C35" s="13" t="s">
        <v>89</v>
      </c>
    </row>
    <row r="36" spans="1:3" x14ac:dyDescent="0.35">
      <c r="A36" s="5" t="s">
        <v>130</v>
      </c>
      <c r="B36" s="20">
        <v>38466</v>
      </c>
      <c r="C36" s="13" t="s">
        <v>131</v>
      </c>
    </row>
    <row r="37" spans="1:3" x14ac:dyDescent="0.35">
      <c r="A37" s="5" t="s">
        <v>132</v>
      </c>
      <c r="B37" s="20">
        <v>21403</v>
      </c>
      <c r="C37" s="13" t="s">
        <v>133</v>
      </c>
    </row>
    <row r="38" spans="1:3" x14ac:dyDescent="0.35">
      <c r="A38" s="5" t="s">
        <v>134</v>
      </c>
      <c r="B38" s="22">
        <f>B39-B34-B35-B36-B37</f>
        <v>55131</v>
      </c>
      <c r="C38" s="13" t="s">
        <v>87</v>
      </c>
    </row>
    <row r="39" spans="1:3" x14ac:dyDescent="0.35">
      <c r="A39" s="18" t="s">
        <v>135</v>
      </c>
      <c r="B39" s="19">
        <v>125605</v>
      </c>
      <c r="C39" s="13" t="s">
        <v>136</v>
      </c>
    </row>
    <row r="40" spans="1:3" x14ac:dyDescent="0.35">
      <c r="A40" s="5" t="s">
        <v>137</v>
      </c>
      <c r="B40" s="20">
        <v>10383</v>
      </c>
      <c r="C40" s="13" t="s">
        <v>138</v>
      </c>
    </row>
    <row r="41" spans="1:3" x14ac:dyDescent="0.35">
      <c r="A41" s="5" t="s">
        <v>139</v>
      </c>
      <c r="B41" s="20">
        <v>2867</v>
      </c>
      <c r="C41" s="13" t="s">
        <v>140</v>
      </c>
    </row>
    <row r="42" spans="1:3" x14ac:dyDescent="0.35">
      <c r="A42" s="5" t="s">
        <v>141</v>
      </c>
      <c r="B42" s="20">
        <v>20832</v>
      </c>
      <c r="C42" s="13" t="s">
        <v>141</v>
      </c>
    </row>
    <row r="43" spans="1:3" x14ac:dyDescent="0.35">
      <c r="A43" s="5" t="s">
        <v>142</v>
      </c>
      <c r="B43" s="20">
        <v>3306</v>
      </c>
      <c r="C43" s="13" t="s">
        <v>143</v>
      </c>
    </row>
    <row r="44" spans="1:3" x14ac:dyDescent="0.35">
      <c r="A44" s="5" t="s">
        <v>144</v>
      </c>
      <c r="B44" s="22">
        <f>B45-B39-B40-B41-B42-B43</f>
        <v>43810</v>
      </c>
      <c r="C44" s="13" t="s">
        <v>87</v>
      </c>
    </row>
    <row r="45" spans="1:3" x14ac:dyDescent="0.35">
      <c r="A45" s="18" t="s">
        <v>75</v>
      </c>
      <c r="B45" s="19">
        <v>206803</v>
      </c>
      <c r="C45" s="13" t="s">
        <v>145</v>
      </c>
    </row>
    <row r="46" spans="1:3" x14ac:dyDescent="0.35">
      <c r="A46" s="5" t="s">
        <v>146</v>
      </c>
      <c r="B46" s="20">
        <v>9812</v>
      </c>
      <c r="C46" s="13" t="s">
        <v>147</v>
      </c>
    </row>
    <row r="47" spans="1:3" x14ac:dyDescent="0.35">
      <c r="A47" s="5" t="s">
        <v>148</v>
      </c>
      <c r="B47" s="20">
        <v>1379</v>
      </c>
      <c r="C47" s="13" t="s">
        <v>149</v>
      </c>
    </row>
    <row r="48" spans="1:3" x14ac:dyDescent="0.35">
      <c r="A48" s="5" t="s">
        <v>150</v>
      </c>
      <c r="B48" s="20">
        <v>999</v>
      </c>
      <c r="C48" s="13" t="s">
        <v>207</v>
      </c>
    </row>
    <row r="49" spans="1:3" x14ac:dyDescent="0.35">
      <c r="A49" s="5" t="s">
        <v>152</v>
      </c>
      <c r="B49" s="22">
        <f>B50-B46-B47-B48</f>
        <v>19973</v>
      </c>
      <c r="C49" s="13" t="s">
        <v>87</v>
      </c>
    </row>
    <row r="50" spans="1:3" x14ac:dyDescent="0.35">
      <c r="A50" s="18" t="s">
        <v>153</v>
      </c>
      <c r="B50" s="19">
        <v>32163</v>
      </c>
      <c r="C50" s="13" t="s">
        <v>154</v>
      </c>
    </row>
    <row r="51" spans="1:3" x14ac:dyDescent="0.35">
      <c r="A51" s="5" t="s">
        <v>155</v>
      </c>
      <c r="B51" s="20">
        <v>7469</v>
      </c>
      <c r="C51" s="13" t="s">
        <v>156</v>
      </c>
    </row>
    <row r="52" spans="1:3" x14ac:dyDescent="0.35">
      <c r="A52" s="5" t="s">
        <v>157</v>
      </c>
      <c r="B52" s="22">
        <f>B53-B50-B51</f>
        <v>9878</v>
      </c>
      <c r="C52" s="13" t="s">
        <v>87</v>
      </c>
    </row>
    <row r="53" spans="1:3" x14ac:dyDescent="0.35">
      <c r="A53" s="18" t="s">
        <v>158</v>
      </c>
      <c r="B53" s="19">
        <v>49510</v>
      </c>
      <c r="C53" s="13" t="s">
        <v>198</v>
      </c>
    </row>
    <row r="54" spans="1:3" x14ac:dyDescent="0.35">
      <c r="A54" s="18" t="s">
        <v>159</v>
      </c>
      <c r="B54" s="19">
        <v>157293</v>
      </c>
      <c r="C54" s="13" t="s">
        <v>160</v>
      </c>
    </row>
    <row r="55" spans="1:3" x14ac:dyDescent="0.35">
      <c r="A55" s="18" t="s">
        <v>161</v>
      </c>
      <c r="B55" s="19">
        <v>206803</v>
      </c>
      <c r="C55" s="13" t="s">
        <v>162</v>
      </c>
    </row>
    <row r="56" spans="1:3" x14ac:dyDescent="0.35">
      <c r="A56" s="5" t="s">
        <v>163</v>
      </c>
      <c r="B56" s="22">
        <f>B45-B55</f>
        <v>0</v>
      </c>
      <c r="C56" s="13" t="s">
        <v>87</v>
      </c>
    </row>
    <row r="57" spans="1:3" x14ac:dyDescent="0.35">
      <c r="A57" s="16" t="s">
        <v>117</v>
      </c>
      <c r="B57" s="17"/>
      <c r="C57" s="17"/>
    </row>
    <row r="58" spans="1:3" x14ac:dyDescent="0.35">
      <c r="A58" s="5" t="s">
        <v>164</v>
      </c>
      <c r="B58" s="22">
        <f>B48+B51</f>
        <v>8468</v>
      </c>
      <c r="C58" s="13" t="s">
        <v>87</v>
      </c>
    </row>
    <row r="59" spans="1:3" x14ac:dyDescent="0.35">
      <c r="A59" s="5" t="s">
        <v>165</v>
      </c>
      <c r="B59" s="22">
        <f>B34+B35</f>
        <v>10605</v>
      </c>
      <c r="C59" s="13" t="s">
        <v>87</v>
      </c>
    </row>
    <row r="60" spans="1:3" x14ac:dyDescent="0.35">
      <c r="A60" s="5" t="s">
        <v>166</v>
      </c>
      <c r="B60" s="22">
        <f>B58-B59</f>
        <v>-2137</v>
      </c>
      <c r="C60" s="13" t="s">
        <v>87</v>
      </c>
    </row>
    <row r="61" spans="1:3" x14ac:dyDescent="0.35">
      <c r="A61" s="5" t="s">
        <v>167</v>
      </c>
      <c r="B61" s="20">
        <v>24304</v>
      </c>
      <c r="C61" s="13" t="s">
        <v>168</v>
      </c>
    </row>
    <row r="63" spans="1:3" x14ac:dyDescent="0.35">
      <c r="A63" s="16" t="s">
        <v>169</v>
      </c>
      <c r="B63" s="17"/>
      <c r="C63" s="17"/>
    </row>
    <row r="64" spans="1:3" x14ac:dyDescent="0.35">
      <c r="A64" s="5" t="s">
        <v>68</v>
      </c>
      <c r="B64" s="22">
        <f>B22</f>
        <v>120067</v>
      </c>
      <c r="C64" s="13" t="s">
        <v>87</v>
      </c>
    </row>
    <row r="65" spans="1:3" x14ac:dyDescent="0.35">
      <c r="A65" s="5" t="s">
        <v>118</v>
      </c>
      <c r="B65" s="22">
        <f>B28</f>
        <v>2843</v>
      </c>
      <c r="C65" s="13" t="s">
        <v>87</v>
      </c>
    </row>
    <row r="66" spans="1:3" x14ac:dyDescent="0.35">
      <c r="A66" s="5" t="s">
        <v>122</v>
      </c>
      <c r="B66" s="22">
        <f>B30</f>
        <v>6386</v>
      </c>
      <c r="C66" s="13" t="s">
        <v>87</v>
      </c>
    </row>
    <row r="67" spans="1:3" x14ac:dyDescent="0.35">
      <c r="A67" s="5" t="s">
        <v>170</v>
      </c>
      <c r="B67" s="22">
        <f>B68-B64-B65-B66</f>
        <v>-26578</v>
      </c>
      <c r="C67" s="13" t="s">
        <v>87</v>
      </c>
    </row>
    <row r="68" spans="1:3" x14ac:dyDescent="0.35">
      <c r="A68" s="18" t="s">
        <v>171</v>
      </c>
      <c r="B68" s="19">
        <v>102718</v>
      </c>
      <c r="C68" s="13" t="s">
        <v>172</v>
      </c>
    </row>
    <row r="69" spans="1:3" x14ac:dyDescent="0.35">
      <c r="A69" s="5" t="s">
        <v>173</v>
      </c>
      <c r="B69" s="20">
        <v>-6042</v>
      </c>
      <c r="C69" s="13" t="s">
        <v>174</v>
      </c>
    </row>
    <row r="70" spans="1:3" x14ac:dyDescent="0.35">
      <c r="A70" s="5" t="s">
        <v>175</v>
      </c>
      <c r="B70" s="22">
        <f>B71-B69</f>
        <v>-46186</v>
      </c>
      <c r="C70" s="13" t="s">
        <v>87</v>
      </c>
    </row>
    <row r="71" spans="1:3" x14ac:dyDescent="0.35">
      <c r="A71" s="18" t="s">
        <v>176</v>
      </c>
      <c r="B71" s="19">
        <v>-52228</v>
      </c>
      <c r="C71" s="13" t="s">
        <v>177</v>
      </c>
    </row>
    <row r="72" spans="1:3" x14ac:dyDescent="0.35">
      <c r="A72" s="5" t="s">
        <v>178</v>
      </c>
      <c r="B72" s="20">
        <v>-40086</v>
      </c>
      <c r="C72" s="13" t="s">
        <v>200</v>
      </c>
    </row>
    <row r="73" spans="1:3" x14ac:dyDescent="0.35">
      <c r="A73" s="5" t="s">
        <v>179</v>
      </c>
      <c r="B73" s="20">
        <v>-974</v>
      </c>
      <c r="C73" s="13" t="s">
        <v>208</v>
      </c>
    </row>
    <row r="74" spans="1:3" x14ac:dyDescent="0.35">
      <c r="A74" s="5" t="s">
        <v>180</v>
      </c>
      <c r="B74" s="22">
        <f>B75-B72-B73</f>
        <v>-7414</v>
      </c>
      <c r="C74" s="13" t="s">
        <v>87</v>
      </c>
    </row>
    <row r="75" spans="1:3" x14ac:dyDescent="0.35">
      <c r="A75" s="18" t="s">
        <v>181</v>
      </c>
      <c r="B75" s="19">
        <v>-48474</v>
      </c>
      <c r="C75" s="13" t="s">
        <v>182</v>
      </c>
    </row>
    <row r="76" spans="1:3" x14ac:dyDescent="0.35">
      <c r="A76" s="5" t="s">
        <v>183</v>
      </c>
      <c r="B76" s="20"/>
      <c r="C76" s="13" t="s">
        <v>89</v>
      </c>
    </row>
    <row r="77" spans="1:3" x14ac:dyDescent="0.35">
      <c r="A77" s="18" t="s">
        <v>185</v>
      </c>
      <c r="B77" s="21">
        <f>B68+B71+B75+B76</f>
        <v>2016</v>
      </c>
      <c r="C77" s="13" t="s">
        <v>87</v>
      </c>
    </row>
    <row r="78" spans="1:3" x14ac:dyDescent="0.35">
      <c r="A78" s="16" t="s">
        <v>117</v>
      </c>
      <c r="B78" s="17"/>
      <c r="C78" s="17"/>
    </row>
    <row r="79" spans="1:3" x14ac:dyDescent="0.35">
      <c r="A79" s="18" t="s">
        <v>186</v>
      </c>
      <c r="B79" s="21">
        <f>B68+B69</f>
        <v>96676</v>
      </c>
      <c r="C79" s="13" t="s">
        <v>87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9"/>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56" customWidth="1"/>
    <col min="2" max="2" width="16" customWidth="1"/>
    <col min="3" max="3" width="70" customWidth="1"/>
  </cols>
  <sheetData>
    <row r="1" spans="1:3" ht="18" x14ac:dyDescent="0.4">
      <c r="A1" s="7" t="s">
        <v>209</v>
      </c>
    </row>
    <row r="2" spans="1:3" x14ac:dyDescent="0.35">
      <c r="A2" s="13" t="s">
        <v>210</v>
      </c>
    </row>
    <row r="4" spans="1:3" x14ac:dyDescent="0.35">
      <c r="A4" s="14" t="s">
        <v>81</v>
      </c>
      <c r="B4" s="15" t="s">
        <v>27</v>
      </c>
      <c r="C4" s="14" t="s">
        <v>82</v>
      </c>
    </row>
    <row r="5" spans="1:3" x14ac:dyDescent="0.35">
      <c r="A5" s="16" t="s">
        <v>83</v>
      </c>
      <c r="B5" s="17"/>
      <c r="C5" s="17"/>
    </row>
    <row r="6" spans="1:3" x14ac:dyDescent="0.35">
      <c r="A6" s="18" t="s">
        <v>64</v>
      </c>
      <c r="B6" s="19">
        <v>402836</v>
      </c>
      <c r="C6" s="13" t="s">
        <v>204</v>
      </c>
    </row>
    <row r="7" spans="1:3" x14ac:dyDescent="0.35">
      <c r="A7" s="5" t="s">
        <v>85</v>
      </c>
      <c r="B7" s="20">
        <v>162535</v>
      </c>
      <c r="C7" s="13" t="s">
        <v>205</v>
      </c>
    </row>
    <row r="8" spans="1:3" x14ac:dyDescent="0.35">
      <c r="A8" s="18" t="s">
        <v>65</v>
      </c>
      <c r="B8" s="21">
        <f>B6-B7</f>
        <v>240301</v>
      </c>
      <c r="C8" s="13" t="s">
        <v>87</v>
      </c>
    </row>
    <row r="9" spans="1:3" x14ac:dyDescent="0.35">
      <c r="A9" s="5" t="s">
        <v>88</v>
      </c>
      <c r="B9" s="20">
        <v>61087</v>
      </c>
      <c r="C9" s="13" t="s">
        <v>190</v>
      </c>
    </row>
    <row r="10" spans="1:3" x14ac:dyDescent="0.35">
      <c r="A10" s="5" t="s">
        <v>90</v>
      </c>
      <c r="B10" s="22">
        <f>B11+B12</f>
        <v>50175</v>
      </c>
      <c r="C10" s="13" t="s">
        <v>87</v>
      </c>
    </row>
    <row r="11" spans="1:3" x14ac:dyDescent="0.35">
      <c r="A11" s="23" t="s">
        <v>91</v>
      </c>
      <c r="B11" s="20">
        <v>28693</v>
      </c>
      <c r="C11" s="13" t="s">
        <v>191</v>
      </c>
    </row>
    <row r="12" spans="1:3" x14ac:dyDescent="0.35">
      <c r="A12" s="23" t="s">
        <v>93</v>
      </c>
      <c r="B12" s="20">
        <v>21482</v>
      </c>
      <c r="C12" s="13" t="s">
        <v>94</v>
      </c>
    </row>
    <row r="13" spans="1:3" x14ac:dyDescent="0.35">
      <c r="A13" s="5" t="s">
        <v>95</v>
      </c>
      <c r="B13" s="22">
        <f>B6-B7-B9-B10-B15</f>
        <v>0</v>
      </c>
      <c r="C13" s="13" t="s">
        <v>87</v>
      </c>
    </row>
    <row r="14" spans="1:3" x14ac:dyDescent="0.35">
      <c r="A14" s="5" t="s">
        <v>96</v>
      </c>
      <c r="B14" s="22">
        <f>B6-B15</f>
        <v>273797</v>
      </c>
      <c r="C14" s="13" t="s">
        <v>87</v>
      </c>
    </row>
    <row r="15" spans="1:3" x14ac:dyDescent="0.35">
      <c r="A15" s="18" t="s">
        <v>66</v>
      </c>
      <c r="B15" s="19">
        <v>129039</v>
      </c>
      <c r="C15" s="13" t="s">
        <v>97</v>
      </c>
    </row>
    <row r="16" spans="1:3" x14ac:dyDescent="0.35">
      <c r="A16" s="5" t="s">
        <v>98</v>
      </c>
      <c r="B16" s="22">
        <f>B19-B15</f>
        <v>29787</v>
      </c>
      <c r="C16" s="13" t="s">
        <v>87</v>
      </c>
    </row>
    <row r="17" spans="1:3" x14ac:dyDescent="0.35">
      <c r="A17" s="23" t="s">
        <v>99</v>
      </c>
      <c r="B17" s="20">
        <v>4337</v>
      </c>
      <c r="C17" s="13" t="s">
        <v>211</v>
      </c>
    </row>
    <row r="18" spans="1:3" x14ac:dyDescent="0.35">
      <c r="A18" s="23" t="s">
        <v>101</v>
      </c>
      <c r="B18" s="20">
        <v>736</v>
      </c>
      <c r="C18" s="13" t="s">
        <v>102</v>
      </c>
    </row>
    <row r="19" spans="1:3" x14ac:dyDescent="0.35">
      <c r="A19" s="18" t="s">
        <v>103</v>
      </c>
      <c r="B19" s="19">
        <v>158826</v>
      </c>
      <c r="C19" s="13" t="s">
        <v>193</v>
      </c>
    </row>
    <row r="20" spans="1:3" x14ac:dyDescent="0.35">
      <c r="A20" s="5" t="s">
        <v>105</v>
      </c>
      <c r="B20" s="20">
        <v>26656</v>
      </c>
      <c r="C20" s="13" t="s">
        <v>106</v>
      </c>
    </row>
    <row r="21" spans="1:3" x14ac:dyDescent="0.35">
      <c r="A21" s="5" t="s">
        <v>107</v>
      </c>
      <c r="B21" s="22">
        <f>B22-B19+B20</f>
        <v>0</v>
      </c>
      <c r="C21" s="13" t="s">
        <v>87</v>
      </c>
    </row>
    <row r="22" spans="1:3" x14ac:dyDescent="0.35">
      <c r="A22" s="18" t="s">
        <v>68</v>
      </c>
      <c r="B22" s="19">
        <v>132170</v>
      </c>
      <c r="C22" s="13" t="s">
        <v>108</v>
      </c>
    </row>
    <row r="23" spans="1:3" x14ac:dyDescent="0.35">
      <c r="A23" s="5" t="s">
        <v>109</v>
      </c>
      <c r="B23" s="24">
        <v>10.91</v>
      </c>
      <c r="C23" s="13" t="s">
        <v>110</v>
      </c>
    </row>
    <row r="24" spans="1:3" x14ac:dyDescent="0.35">
      <c r="A24" s="5" t="s">
        <v>111</v>
      </c>
      <c r="B24" s="24">
        <v>10.81</v>
      </c>
      <c r="C24" s="13" t="s">
        <v>112</v>
      </c>
    </row>
    <row r="25" spans="1:3" x14ac:dyDescent="0.35">
      <c r="A25" s="5" t="s">
        <v>113</v>
      </c>
      <c r="B25" s="20">
        <v>12116</v>
      </c>
      <c r="C25" s="13" t="s">
        <v>114</v>
      </c>
    </row>
    <row r="26" spans="1:3" x14ac:dyDescent="0.35">
      <c r="A26" s="5" t="s">
        <v>115</v>
      </c>
      <c r="B26" s="20">
        <v>12230</v>
      </c>
      <c r="C26" s="13" t="s">
        <v>116</v>
      </c>
    </row>
    <row r="27" spans="1:3" x14ac:dyDescent="0.35">
      <c r="A27" s="16" t="s">
        <v>117</v>
      </c>
      <c r="B27" s="17"/>
      <c r="C27" s="17"/>
    </row>
    <row r="28" spans="1:3" x14ac:dyDescent="0.35">
      <c r="A28" s="5" t="s">
        <v>118</v>
      </c>
      <c r="B28" s="20">
        <v>21136</v>
      </c>
      <c r="C28" s="13" t="s">
        <v>212</v>
      </c>
    </row>
    <row r="29" spans="1:3" x14ac:dyDescent="0.35">
      <c r="A29" s="5" t="s">
        <v>120</v>
      </c>
      <c r="B29" s="20"/>
      <c r="C29" s="13" t="s">
        <v>89</v>
      </c>
    </row>
    <row r="30" spans="1:3" x14ac:dyDescent="0.35">
      <c r="A30" s="5" t="s">
        <v>122</v>
      </c>
      <c r="B30" s="20">
        <v>24953</v>
      </c>
      <c r="C30" s="13" t="s">
        <v>123</v>
      </c>
    </row>
    <row r="31" spans="1:3" x14ac:dyDescent="0.35">
      <c r="A31" s="18" t="s">
        <v>124</v>
      </c>
      <c r="B31" s="21">
        <f>B15+B28</f>
        <v>150175</v>
      </c>
      <c r="C31" s="13" t="s">
        <v>87</v>
      </c>
    </row>
    <row r="33" spans="1:3" x14ac:dyDescent="0.35">
      <c r="A33" s="16" t="s">
        <v>125</v>
      </c>
      <c r="B33" s="17"/>
      <c r="C33" s="17"/>
    </row>
    <row r="34" spans="1:3" x14ac:dyDescent="0.35">
      <c r="A34" s="5" t="s">
        <v>126</v>
      </c>
      <c r="B34" s="20">
        <v>30708</v>
      </c>
      <c r="C34" s="13" t="s">
        <v>127</v>
      </c>
    </row>
    <row r="35" spans="1:3" x14ac:dyDescent="0.35">
      <c r="A35" s="5" t="s">
        <v>128</v>
      </c>
      <c r="B35" s="20">
        <v>96135</v>
      </c>
      <c r="C35" s="13" t="s">
        <v>129</v>
      </c>
    </row>
    <row r="36" spans="1:3" x14ac:dyDescent="0.35">
      <c r="A36" s="5" t="s">
        <v>130</v>
      </c>
      <c r="B36" s="20">
        <v>62886</v>
      </c>
      <c r="C36" s="13" t="s">
        <v>131</v>
      </c>
    </row>
    <row r="37" spans="1:3" x14ac:dyDescent="0.35">
      <c r="A37" s="5" t="s">
        <v>132</v>
      </c>
      <c r="B37" s="20"/>
      <c r="C37" s="13" t="s">
        <v>89</v>
      </c>
    </row>
    <row r="38" spans="1:3" x14ac:dyDescent="0.35">
      <c r="A38" s="5" t="s">
        <v>134</v>
      </c>
      <c r="B38" s="22">
        <f>B39-B34-B35-B36-B37</f>
        <v>16309</v>
      </c>
      <c r="C38" s="13" t="s">
        <v>87</v>
      </c>
    </row>
    <row r="39" spans="1:3" x14ac:dyDescent="0.35">
      <c r="A39" s="18" t="s">
        <v>135</v>
      </c>
      <c r="B39" s="19">
        <v>206038</v>
      </c>
      <c r="C39" s="13" t="s">
        <v>136</v>
      </c>
    </row>
    <row r="40" spans="1:3" x14ac:dyDescent="0.35">
      <c r="A40" s="5" t="s">
        <v>137</v>
      </c>
      <c r="B40" s="20">
        <v>246597</v>
      </c>
      <c r="C40" s="13" t="s">
        <v>213</v>
      </c>
    </row>
    <row r="41" spans="1:3" x14ac:dyDescent="0.35">
      <c r="A41" s="5" t="s">
        <v>139</v>
      </c>
      <c r="B41" s="20">
        <v>15221</v>
      </c>
      <c r="C41" s="13" t="s">
        <v>140</v>
      </c>
    </row>
    <row r="42" spans="1:3" x14ac:dyDescent="0.35">
      <c r="A42" s="5" t="s">
        <v>141</v>
      </c>
      <c r="B42" s="20">
        <v>33380</v>
      </c>
      <c r="C42" s="13" t="s">
        <v>141</v>
      </c>
    </row>
    <row r="43" spans="1:3" x14ac:dyDescent="0.35">
      <c r="A43" s="5" t="s">
        <v>142</v>
      </c>
      <c r="B43" s="20"/>
      <c r="C43" s="13" t="s">
        <v>89</v>
      </c>
    </row>
    <row r="44" spans="1:3" x14ac:dyDescent="0.35">
      <c r="A44" s="5" t="s">
        <v>144</v>
      </c>
      <c r="B44" s="22">
        <f>B45-B39-B40-B41-B42-B43</f>
        <v>94045</v>
      </c>
      <c r="C44" s="13" t="s">
        <v>87</v>
      </c>
    </row>
    <row r="45" spans="1:3" x14ac:dyDescent="0.35">
      <c r="A45" s="18" t="s">
        <v>75</v>
      </c>
      <c r="B45" s="19">
        <v>595281</v>
      </c>
      <c r="C45" s="13" t="s">
        <v>145</v>
      </c>
    </row>
    <row r="46" spans="1:3" x14ac:dyDescent="0.35">
      <c r="A46" s="5" t="s">
        <v>146</v>
      </c>
      <c r="B46" s="20">
        <v>12200</v>
      </c>
      <c r="C46" s="13" t="s">
        <v>147</v>
      </c>
    </row>
    <row r="47" spans="1:3" x14ac:dyDescent="0.35">
      <c r="A47" s="5" t="s">
        <v>148</v>
      </c>
      <c r="B47" s="20">
        <v>6578</v>
      </c>
      <c r="C47" s="13" t="s">
        <v>149</v>
      </c>
    </row>
    <row r="48" spans="1:3" x14ac:dyDescent="0.35">
      <c r="A48" s="5" t="s">
        <v>150</v>
      </c>
      <c r="B48" s="20">
        <v>1996</v>
      </c>
      <c r="C48" s="13" t="s">
        <v>197</v>
      </c>
    </row>
    <row r="49" spans="1:3" x14ac:dyDescent="0.35">
      <c r="A49" s="5" t="s">
        <v>152</v>
      </c>
      <c r="B49" s="22">
        <f>B50-B46-B47-B48</f>
        <v>81971</v>
      </c>
      <c r="C49" s="13" t="s">
        <v>87</v>
      </c>
    </row>
    <row r="50" spans="1:3" x14ac:dyDescent="0.35">
      <c r="A50" s="18" t="s">
        <v>153</v>
      </c>
      <c r="B50" s="19">
        <v>102745</v>
      </c>
      <c r="C50" s="13" t="s">
        <v>154</v>
      </c>
    </row>
    <row r="51" spans="1:3" x14ac:dyDescent="0.35">
      <c r="A51" s="5" t="s">
        <v>155</v>
      </c>
      <c r="B51" s="20">
        <v>46547</v>
      </c>
      <c r="C51" s="13" t="s">
        <v>156</v>
      </c>
    </row>
    <row r="52" spans="1:3" x14ac:dyDescent="0.35">
      <c r="A52" s="5" t="s">
        <v>157</v>
      </c>
      <c r="B52" s="22">
        <f>B53-B50-B51</f>
        <v>30724</v>
      </c>
      <c r="C52" s="13" t="s">
        <v>87</v>
      </c>
    </row>
    <row r="53" spans="1:3" x14ac:dyDescent="0.35">
      <c r="A53" s="18" t="s">
        <v>158</v>
      </c>
      <c r="B53" s="19">
        <v>180016</v>
      </c>
      <c r="C53" s="13" t="s">
        <v>198</v>
      </c>
    </row>
    <row r="54" spans="1:3" x14ac:dyDescent="0.35">
      <c r="A54" s="18" t="s">
        <v>159</v>
      </c>
      <c r="B54" s="19">
        <v>415265</v>
      </c>
      <c r="C54" s="13" t="s">
        <v>160</v>
      </c>
    </row>
    <row r="55" spans="1:3" x14ac:dyDescent="0.35">
      <c r="A55" s="18" t="s">
        <v>161</v>
      </c>
      <c r="B55" s="19">
        <v>595281</v>
      </c>
      <c r="C55" s="13" t="s">
        <v>162</v>
      </c>
    </row>
    <row r="56" spans="1:3" x14ac:dyDescent="0.35">
      <c r="A56" s="5" t="s">
        <v>163</v>
      </c>
      <c r="B56" s="22">
        <f>B45-B55</f>
        <v>0</v>
      </c>
      <c r="C56" s="13" t="s">
        <v>87</v>
      </c>
    </row>
    <row r="57" spans="1:3" x14ac:dyDescent="0.35">
      <c r="A57" s="16" t="s">
        <v>117</v>
      </c>
      <c r="B57" s="17"/>
      <c r="C57" s="17"/>
    </row>
    <row r="58" spans="1:3" x14ac:dyDescent="0.35">
      <c r="A58" s="5" t="s">
        <v>164</v>
      </c>
      <c r="B58" s="22">
        <f>B48+B51</f>
        <v>48543</v>
      </c>
      <c r="C58" s="13" t="s">
        <v>87</v>
      </c>
    </row>
    <row r="59" spans="1:3" x14ac:dyDescent="0.35">
      <c r="A59" s="5" t="s">
        <v>165</v>
      </c>
      <c r="B59" s="22">
        <f>B34+B35</f>
        <v>126843</v>
      </c>
      <c r="C59" s="13" t="s">
        <v>87</v>
      </c>
    </row>
    <row r="60" spans="1:3" x14ac:dyDescent="0.35">
      <c r="A60" s="5" t="s">
        <v>166</v>
      </c>
      <c r="B60" s="22">
        <f>B58-B59</f>
        <v>-78300</v>
      </c>
      <c r="C60" s="13" t="s">
        <v>87</v>
      </c>
    </row>
    <row r="61" spans="1:3" x14ac:dyDescent="0.35">
      <c r="A61" s="5" t="s">
        <v>167</v>
      </c>
      <c r="B61" s="20">
        <v>12088</v>
      </c>
      <c r="C61" s="13" t="s">
        <v>168</v>
      </c>
    </row>
    <row r="63" spans="1:3" x14ac:dyDescent="0.35">
      <c r="A63" s="16" t="s">
        <v>169</v>
      </c>
      <c r="B63" s="17"/>
      <c r="C63" s="17"/>
    </row>
    <row r="64" spans="1:3" x14ac:dyDescent="0.35">
      <c r="A64" s="5" t="s">
        <v>68</v>
      </c>
      <c r="B64" s="22">
        <f>B22</f>
        <v>132170</v>
      </c>
      <c r="C64" s="13" t="s">
        <v>87</v>
      </c>
    </row>
    <row r="65" spans="1:3" x14ac:dyDescent="0.35">
      <c r="A65" s="5" t="s">
        <v>118</v>
      </c>
      <c r="B65" s="22">
        <f>B28</f>
        <v>21136</v>
      </c>
      <c r="C65" s="13" t="s">
        <v>87</v>
      </c>
    </row>
    <row r="66" spans="1:3" x14ac:dyDescent="0.35">
      <c r="A66" s="5" t="s">
        <v>122</v>
      </c>
      <c r="B66" s="22">
        <f>B30</f>
        <v>24953</v>
      </c>
      <c r="C66" s="13" t="s">
        <v>87</v>
      </c>
    </row>
    <row r="67" spans="1:3" x14ac:dyDescent="0.35">
      <c r="A67" s="5" t="s">
        <v>170</v>
      </c>
      <c r="B67" s="22">
        <f>B68-B64-B65-B66</f>
        <v>-13546</v>
      </c>
      <c r="C67" s="13" t="s">
        <v>87</v>
      </c>
    </row>
    <row r="68" spans="1:3" x14ac:dyDescent="0.35">
      <c r="A68" s="18" t="s">
        <v>171</v>
      </c>
      <c r="B68" s="19">
        <v>164713</v>
      </c>
      <c r="C68" s="13" t="s">
        <v>172</v>
      </c>
    </row>
    <row r="69" spans="1:3" x14ac:dyDescent="0.35">
      <c r="A69" s="5" t="s">
        <v>173</v>
      </c>
      <c r="B69" s="20">
        <v>-91447</v>
      </c>
      <c r="C69" s="13" t="s">
        <v>199</v>
      </c>
    </row>
    <row r="70" spans="1:3" x14ac:dyDescent="0.35">
      <c r="A70" s="5" t="s">
        <v>175</v>
      </c>
      <c r="B70" s="22">
        <f>B71-B69</f>
        <v>-28844</v>
      </c>
      <c r="C70" s="13" t="s">
        <v>87</v>
      </c>
    </row>
    <row r="71" spans="1:3" x14ac:dyDescent="0.35">
      <c r="A71" s="18" t="s">
        <v>176</v>
      </c>
      <c r="B71" s="19">
        <v>-120291</v>
      </c>
      <c r="C71" s="13" t="s">
        <v>177</v>
      </c>
    </row>
    <row r="72" spans="1:3" x14ac:dyDescent="0.35">
      <c r="A72" s="5" t="s">
        <v>178</v>
      </c>
      <c r="B72" s="20">
        <v>-45709</v>
      </c>
      <c r="C72" s="13" t="s">
        <v>200</v>
      </c>
    </row>
    <row r="73" spans="1:3" x14ac:dyDescent="0.35">
      <c r="A73" s="5" t="s">
        <v>179</v>
      </c>
      <c r="B73" s="20">
        <v>-10049</v>
      </c>
      <c r="C73" s="13" t="s">
        <v>208</v>
      </c>
    </row>
    <row r="74" spans="1:3" x14ac:dyDescent="0.35">
      <c r="A74" s="5" t="s">
        <v>180</v>
      </c>
      <c r="B74" s="22">
        <f>B75-B72-B73</f>
        <v>18370</v>
      </c>
      <c r="C74" s="13" t="s">
        <v>87</v>
      </c>
    </row>
    <row r="75" spans="1:3" x14ac:dyDescent="0.35">
      <c r="A75" s="18" t="s">
        <v>181</v>
      </c>
      <c r="B75" s="19">
        <v>-37388</v>
      </c>
      <c r="C75" s="13" t="s">
        <v>182</v>
      </c>
    </row>
    <row r="76" spans="1:3" x14ac:dyDescent="0.35">
      <c r="A76" s="5" t="s">
        <v>183</v>
      </c>
      <c r="B76" s="20">
        <v>208</v>
      </c>
      <c r="C76" s="13" t="s">
        <v>214</v>
      </c>
    </row>
    <row r="77" spans="1:3" x14ac:dyDescent="0.35">
      <c r="A77" s="18" t="s">
        <v>185</v>
      </c>
      <c r="B77" s="21">
        <f>B68+B71+B75+B76</f>
        <v>7242</v>
      </c>
      <c r="C77" s="13" t="s">
        <v>87</v>
      </c>
    </row>
    <row r="78" spans="1:3" x14ac:dyDescent="0.35">
      <c r="A78" s="16" t="s">
        <v>117</v>
      </c>
      <c r="B78" s="17"/>
      <c r="C78" s="17"/>
    </row>
    <row r="79" spans="1:3" x14ac:dyDescent="0.35">
      <c r="A79" s="18" t="s">
        <v>186</v>
      </c>
      <c r="B79" s="21">
        <f>B68+B69</f>
        <v>73266</v>
      </c>
      <c r="C79" s="13" t="s">
        <v>87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9"/>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56" customWidth="1"/>
    <col min="2" max="2" width="16" customWidth="1"/>
    <col min="3" max="3" width="70" customWidth="1"/>
  </cols>
  <sheetData>
    <row r="1" spans="1:3" ht="18" x14ac:dyDescent="0.4">
      <c r="A1" s="7" t="s">
        <v>215</v>
      </c>
    </row>
    <row r="2" spans="1:3" x14ac:dyDescent="0.35">
      <c r="A2" s="13" t="s">
        <v>216</v>
      </c>
    </row>
    <row r="4" spans="1:3" x14ac:dyDescent="0.35">
      <c r="A4" s="14" t="s">
        <v>81</v>
      </c>
      <c r="B4" s="15" t="s">
        <v>27</v>
      </c>
      <c r="C4" s="14" t="s">
        <v>82</v>
      </c>
    </row>
    <row r="5" spans="1:3" x14ac:dyDescent="0.35">
      <c r="A5" s="16" t="s">
        <v>83</v>
      </c>
      <c r="B5" s="17"/>
      <c r="C5" s="17"/>
    </row>
    <row r="6" spans="1:3" x14ac:dyDescent="0.35">
      <c r="A6" s="18" t="s">
        <v>64</v>
      </c>
      <c r="B6" s="19">
        <v>200966</v>
      </c>
      <c r="C6" s="13" t="s">
        <v>84</v>
      </c>
    </row>
    <row r="7" spans="1:3" x14ac:dyDescent="0.35">
      <c r="A7" s="5" t="s">
        <v>85</v>
      </c>
      <c r="B7" s="20">
        <v>36175</v>
      </c>
      <c r="C7" s="13" t="s">
        <v>205</v>
      </c>
    </row>
    <row r="8" spans="1:3" x14ac:dyDescent="0.35">
      <c r="A8" s="18" t="s">
        <v>65</v>
      </c>
      <c r="B8" s="21">
        <f>B6-B7</f>
        <v>164791</v>
      </c>
      <c r="C8" s="13" t="s">
        <v>87</v>
      </c>
    </row>
    <row r="9" spans="1:3" x14ac:dyDescent="0.35">
      <c r="A9" s="5" t="s">
        <v>88</v>
      </c>
      <c r="B9" s="20">
        <v>57372</v>
      </c>
      <c r="C9" s="13" t="s">
        <v>190</v>
      </c>
    </row>
    <row r="10" spans="1:3" x14ac:dyDescent="0.35">
      <c r="A10" s="5" t="s">
        <v>90</v>
      </c>
      <c r="B10" s="22">
        <f>B11+B12</f>
        <v>24143</v>
      </c>
      <c r="C10" s="13" t="s">
        <v>87</v>
      </c>
    </row>
    <row r="11" spans="1:3" x14ac:dyDescent="0.35">
      <c r="A11" s="23" t="s">
        <v>91</v>
      </c>
      <c r="B11" s="20">
        <v>11991</v>
      </c>
      <c r="C11" s="13" t="s">
        <v>191</v>
      </c>
    </row>
    <row r="12" spans="1:3" x14ac:dyDescent="0.35">
      <c r="A12" s="23" t="s">
        <v>93</v>
      </c>
      <c r="B12" s="20">
        <v>12152</v>
      </c>
      <c r="C12" s="13" t="s">
        <v>94</v>
      </c>
    </row>
    <row r="13" spans="1:3" x14ac:dyDescent="0.35">
      <c r="A13" s="5" t="s">
        <v>95</v>
      </c>
      <c r="B13" s="22">
        <f>B6-B7-B9-B10-B15</f>
        <v>0</v>
      </c>
      <c r="C13" s="13" t="s">
        <v>87</v>
      </c>
    </row>
    <row r="14" spans="1:3" x14ac:dyDescent="0.35">
      <c r="A14" s="5" t="s">
        <v>96</v>
      </c>
      <c r="B14" s="22">
        <f>B6-B15</f>
        <v>117690</v>
      </c>
      <c r="C14" s="13" t="s">
        <v>87</v>
      </c>
    </row>
    <row r="15" spans="1:3" x14ac:dyDescent="0.35">
      <c r="A15" s="18" t="s">
        <v>66</v>
      </c>
      <c r="B15" s="19">
        <v>83276</v>
      </c>
      <c r="C15" s="13" t="s">
        <v>97</v>
      </c>
    </row>
    <row r="16" spans="1:3" x14ac:dyDescent="0.35">
      <c r="A16" s="5" t="s">
        <v>98</v>
      </c>
      <c r="B16" s="22">
        <f>B19-B15</f>
        <v>2656</v>
      </c>
      <c r="C16" s="13" t="s">
        <v>87</v>
      </c>
    </row>
    <row r="17" spans="1:3" x14ac:dyDescent="0.35">
      <c r="A17" s="23" t="s">
        <v>99</v>
      </c>
      <c r="B17" s="20">
        <v>2123</v>
      </c>
      <c r="C17" s="13" t="s">
        <v>100</v>
      </c>
    </row>
    <row r="18" spans="1:3" x14ac:dyDescent="0.35">
      <c r="A18" s="23" t="s">
        <v>101</v>
      </c>
      <c r="B18" s="20">
        <v>1165</v>
      </c>
      <c r="C18" s="13" t="s">
        <v>102</v>
      </c>
    </row>
    <row r="19" spans="1:3" x14ac:dyDescent="0.35">
      <c r="A19" s="18" t="s">
        <v>103</v>
      </c>
      <c r="B19" s="19">
        <v>85932</v>
      </c>
      <c r="C19" s="13" t="s">
        <v>193</v>
      </c>
    </row>
    <row r="20" spans="1:3" x14ac:dyDescent="0.35">
      <c r="A20" s="5" t="s">
        <v>105</v>
      </c>
      <c r="B20" s="20">
        <v>25474</v>
      </c>
      <c r="C20" s="13" t="s">
        <v>106</v>
      </c>
    </row>
    <row r="21" spans="1:3" x14ac:dyDescent="0.35">
      <c r="A21" s="5" t="s">
        <v>107</v>
      </c>
      <c r="B21" s="22">
        <f>B22-B19+B20</f>
        <v>0</v>
      </c>
      <c r="C21" s="13" t="s">
        <v>87</v>
      </c>
    </row>
    <row r="22" spans="1:3" x14ac:dyDescent="0.35">
      <c r="A22" s="18" t="s">
        <v>68</v>
      </c>
      <c r="B22" s="19">
        <v>60458</v>
      </c>
      <c r="C22" s="13" t="s">
        <v>108</v>
      </c>
    </row>
    <row r="23" spans="1:3" x14ac:dyDescent="0.35">
      <c r="A23" s="5" t="s">
        <v>109</v>
      </c>
      <c r="B23" s="24">
        <v>23.98</v>
      </c>
      <c r="C23" s="13" t="s">
        <v>110</v>
      </c>
    </row>
    <row r="24" spans="1:3" x14ac:dyDescent="0.35">
      <c r="A24" s="5" t="s">
        <v>111</v>
      </c>
      <c r="B24" s="24">
        <v>23.49</v>
      </c>
      <c r="C24" s="13" t="s">
        <v>112</v>
      </c>
    </row>
    <row r="25" spans="1:3" x14ac:dyDescent="0.35">
      <c r="A25" s="5" t="s">
        <v>113</v>
      </c>
      <c r="B25" s="20">
        <v>2521</v>
      </c>
      <c r="C25" s="13" t="s">
        <v>114</v>
      </c>
    </row>
    <row r="26" spans="1:3" x14ac:dyDescent="0.35">
      <c r="A26" s="5" t="s">
        <v>115</v>
      </c>
      <c r="B26" s="20">
        <v>2574</v>
      </c>
      <c r="C26" s="13" t="s">
        <v>116</v>
      </c>
    </row>
    <row r="27" spans="1:3" x14ac:dyDescent="0.35">
      <c r="A27" s="16" t="s">
        <v>117</v>
      </c>
      <c r="B27" s="17"/>
      <c r="C27" s="17"/>
    </row>
    <row r="28" spans="1:3" x14ac:dyDescent="0.35">
      <c r="A28" s="5" t="s">
        <v>118</v>
      </c>
      <c r="B28" s="20">
        <v>18616</v>
      </c>
      <c r="C28" s="13" t="s">
        <v>119</v>
      </c>
    </row>
    <row r="29" spans="1:3" x14ac:dyDescent="0.35">
      <c r="A29" s="5" t="s">
        <v>120</v>
      </c>
      <c r="B29" s="20">
        <v>615</v>
      </c>
      <c r="C29" s="13" t="s">
        <v>121</v>
      </c>
    </row>
    <row r="30" spans="1:3" x14ac:dyDescent="0.35">
      <c r="A30" s="5" t="s">
        <v>122</v>
      </c>
      <c r="B30" s="20">
        <v>20427</v>
      </c>
      <c r="C30" s="13" t="s">
        <v>123</v>
      </c>
    </row>
    <row r="31" spans="1:3" x14ac:dyDescent="0.35">
      <c r="A31" s="18" t="s">
        <v>124</v>
      </c>
      <c r="B31" s="21">
        <f>B15+B28</f>
        <v>101892</v>
      </c>
      <c r="C31" s="13" t="s">
        <v>87</v>
      </c>
    </row>
    <row r="33" spans="1:3" x14ac:dyDescent="0.35">
      <c r="A33" s="16" t="s">
        <v>125</v>
      </c>
      <c r="B33" s="17"/>
      <c r="C33" s="17"/>
    </row>
    <row r="34" spans="1:3" x14ac:dyDescent="0.35">
      <c r="A34" s="5" t="s">
        <v>126</v>
      </c>
      <c r="B34" s="20">
        <v>35873</v>
      </c>
      <c r="C34" s="13" t="s">
        <v>127</v>
      </c>
    </row>
    <row r="35" spans="1:3" x14ac:dyDescent="0.35">
      <c r="A35" s="5" t="s">
        <v>128</v>
      </c>
      <c r="B35" s="20">
        <v>45719</v>
      </c>
      <c r="C35" s="13" t="s">
        <v>129</v>
      </c>
    </row>
    <row r="36" spans="1:3" x14ac:dyDescent="0.35">
      <c r="A36" s="5" t="s">
        <v>130</v>
      </c>
      <c r="B36" s="20">
        <v>19769</v>
      </c>
      <c r="C36" s="13" t="s">
        <v>131</v>
      </c>
    </row>
    <row r="37" spans="1:3" x14ac:dyDescent="0.35">
      <c r="A37" s="5" t="s">
        <v>132</v>
      </c>
      <c r="B37" s="20"/>
      <c r="C37" s="13" t="s">
        <v>89</v>
      </c>
    </row>
    <row r="38" spans="1:3" x14ac:dyDescent="0.35">
      <c r="A38" s="5" t="s">
        <v>134</v>
      </c>
      <c r="B38" s="22">
        <f>B39-B34-B35-B36-B37</f>
        <v>7361</v>
      </c>
      <c r="C38" s="13" t="s">
        <v>87</v>
      </c>
    </row>
    <row r="39" spans="1:3" x14ac:dyDescent="0.35">
      <c r="A39" s="18" t="s">
        <v>135</v>
      </c>
      <c r="B39" s="19">
        <v>108722</v>
      </c>
      <c r="C39" s="13" t="s">
        <v>136</v>
      </c>
    </row>
    <row r="40" spans="1:3" x14ac:dyDescent="0.35">
      <c r="A40" s="5" t="s">
        <v>137</v>
      </c>
      <c r="B40" s="20">
        <v>176400</v>
      </c>
      <c r="C40" s="13" t="s">
        <v>213</v>
      </c>
    </row>
    <row r="41" spans="1:3" x14ac:dyDescent="0.35">
      <c r="A41" s="5" t="s">
        <v>139</v>
      </c>
      <c r="B41" s="20">
        <v>20404</v>
      </c>
      <c r="C41" s="13" t="s">
        <v>140</v>
      </c>
    </row>
    <row r="42" spans="1:3" x14ac:dyDescent="0.35">
      <c r="A42" s="5" t="s">
        <v>141</v>
      </c>
      <c r="B42" s="20">
        <v>24534</v>
      </c>
      <c r="C42" s="13" t="s">
        <v>141</v>
      </c>
    </row>
    <row r="43" spans="1:3" x14ac:dyDescent="0.35">
      <c r="A43" s="5" t="s">
        <v>142</v>
      </c>
      <c r="B43" s="20">
        <v>3692</v>
      </c>
      <c r="C43" s="13" t="s">
        <v>143</v>
      </c>
    </row>
    <row r="44" spans="1:3" x14ac:dyDescent="0.35">
      <c r="A44" s="5" t="s">
        <v>144</v>
      </c>
      <c r="B44" s="22">
        <f>B45-B39-B40-B41-B42-B43</f>
        <v>32269</v>
      </c>
      <c r="C44" s="13" t="s">
        <v>87</v>
      </c>
    </row>
    <row r="45" spans="1:3" x14ac:dyDescent="0.35">
      <c r="A45" s="18" t="s">
        <v>75</v>
      </c>
      <c r="B45" s="19">
        <v>366021</v>
      </c>
      <c r="C45" s="13" t="s">
        <v>145</v>
      </c>
    </row>
    <row r="46" spans="1:3" x14ac:dyDescent="0.35">
      <c r="A46" s="5" t="s">
        <v>146</v>
      </c>
      <c r="B46" s="20">
        <v>8894</v>
      </c>
      <c r="C46" s="13" t="s">
        <v>217</v>
      </c>
    </row>
    <row r="47" spans="1:3" x14ac:dyDescent="0.35">
      <c r="A47" s="5" t="s">
        <v>148</v>
      </c>
      <c r="B47" s="20"/>
      <c r="C47" s="13" t="s">
        <v>89</v>
      </c>
    </row>
    <row r="48" spans="1:3" x14ac:dyDescent="0.35">
      <c r="A48" s="5" t="s">
        <v>150</v>
      </c>
      <c r="B48" s="20"/>
      <c r="C48" s="13" t="s">
        <v>89</v>
      </c>
    </row>
    <row r="49" spans="1:3" x14ac:dyDescent="0.35">
      <c r="A49" s="5" t="s">
        <v>152</v>
      </c>
      <c r="B49" s="22">
        <f>B50-B46-B47-B48</f>
        <v>32942</v>
      </c>
      <c r="C49" s="13" t="s">
        <v>87</v>
      </c>
    </row>
    <row r="50" spans="1:3" x14ac:dyDescent="0.35">
      <c r="A50" s="18" t="s">
        <v>153</v>
      </c>
      <c r="B50" s="19">
        <v>41836</v>
      </c>
      <c r="C50" s="13" t="s">
        <v>154</v>
      </c>
    </row>
    <row r="51" spans="1:3" x14ac:dyDescent="0.35">
      <c r="A51" s="5" t="s">
        <v>155</v>
      </c>
      <c r="B51" s="20">
        <v>58744</v>
      </c>
      <c r="C51" s="13" t="s">
        <v>156</v>
      </c>
    </row>
    <row r="52" spans="1:3" x14ac:dyDescent="0.35">
      <c r="A52" s="5" t="s">
        <v>157</v>
      </c>
      <c r="B52" s="22">
        <f>B53-B50-B51</f>
        <v>48198</v>
      </c>
      <c r="C52" s="13" t="s">
        <v>87</v>
      </c>
    </row>
    <row r="53" spans="1:3" x14ac:dyDescent="0.35">
      <c r="A53" s="18" t="s">
        <v>158</v>
      </c>
      <c r="B53" s="19">
        <v>148778</v>
      </c>
      <c r="C53" s="13" t="s">
        <v>198</v>
      </c>
    </row>
    <row r="54" spans="1:3" x14ac:dyDescent="0.35">
      <c r="A54" s="18" t="s">
        <v>159</v>
      </c>
      <c r="B54" s="19">
        <v>217243</v>
      </c>
      <c r="C54" s="13" t="s">
        <v>160</v>
      </c>
    </row>
    <row r="55" spans="1:3" x14ac:dyDescent="0.35">
      <c r="A55" s="18" t="s">
        <v>161</v>
      </c>
      <c r="B55" s="19">
        <v>366021</v>
      </c>
      <c r="C55" s="13" t="s">
        <v>162</v>
      </c>
    </row>
    <row r="56" spans="1:3" x14ac:dyDescent="0.35">
      <c r="A56" s="5" t="s">
        <v>163</v>
      </c>
      <c r="B56" s="22">
        <f>B45-B55</f>
        <v>0</v>
      </c>
      <c r="C56" s="13" t="s">
        <v>87</v>
      </c>
    </row>
    <row r="57" spans="1:3" x14ac:dyDescent="0.35">
      <c r="A57" s="16" t="s">
        <v>117</v>
      </c>
      <c r="B57" s="17"/>
      <c r="C57" s="17"/>
    </row>
    <row r="58" spans="1:3" x14ac:dyDescent="0.35">
      <c r="A58" s="5" t="s">
        <v>164</v>
      </c>
      <c r="B58" s="22">
        <f>B48+B51</f>
        <v>58744</v>
      </c>
      <c r="C58" s="13" t="s">
        <v>87</v>
      </c>
    </row>
    <row r="59" spans="1:3" x14ac:dyDescent="0.35">
      <c r="A59" s="5" t="s">
        <v>165</v>
      </c>
      <c r="B59" s="22">
        <f>B34+B35</f>
        <v>81592</v>
      </c>
      <c r="C59" s="13" t="s">
        <v>87</v>
      </c>
    </row>
    <row r="60" spans="1:3" x14ac:dyDescent="0.35">
      <c r="A60" s="5" t="s">
        <v>166</v>
      </c>
      <c r="B60" s="22">
        <f>B58-B59</f>
        <v>-22848</v>
      </c>
      <c r="C60" s="13" t="s">
        <v>87</v>
      </c>
    </row>
    <row r="61" spans="1:3" x14ac:dyDescent="0.35">
      <c r="A61" s="5" t="s">
        <v>167</v>
      </c>
      <c r="B61" s="20"/>
      <c r="C61" s="13" t="s">
        <v>89</v>
      </c>
    </row>
    <row r="63" spans="1:3" x14ac:dyDescent="0.35">
      <c r="A63" s="16" t="s">
        <v>169</v>
      </c>
      <c r="B63" s="17"/>
      <c r="C63" s="17"/>
    </row>
    <row r="64" spans="1:3" x14ac:dyDescent="0.35">
      <c r="A64" s="5" t="s">
        <v>68</v>
      </c>
      <c r="B64" s="22">
        <f>B22</f>
        <v>60458</v>
      </c>
      <c r="C64" s="13" t="s">
        <v>87</v>
      </c>
    </row>
    <row r="65" spans="1:3" x14ac:dyDescent="0.35">
      <c r="A65" s="5" t="s">
        <v>118</v>
      </c>
      <c r="B65" s="22">
        <f>B28</f>
        <v>18616</v>
      </c>
      <c r="C65" s="13" t="s">
        <v>87</v>
      </c>
    </row>
    <row r="66" spans="1:3" x14ac:dyDescent="0.35">
      <c r="A66" s="5" t="s">
        <v>122</v>
      </c>
      <c r="B66" s="22">
        <f>B30</f>
        <v>20427</v>
      </c>
      <c r="C66" s="13" t="s">
        <v>87</v>
      </c>
    </row>
    <row r="67" spans="1:3" x14ac:dyDescent="0.35">
      <c r="A67" s="5" t="s">
        <v>170</v>
      </c>
      <c r="B67" s="22">
        <f>B68-B64-B65-B66</f>
        <v>16299</v>
      </c>
      <c r="C67" s="13" t="s">
        <v>87</v>
      </c>
    </row>
    <row r="68" spans="1:3" x14ac:dyDescent="0.35">
      <c r="A68" s="18" t="s">
        <v>171</v>
      </c>
      <c r="B68" s="19">
        <v>115800</v>
      </c>
      <c r="C68" s="13" t="s">
        <v>172</v>
      </c>
    </row>
    <row r="69" spans="1:3" x14ac:dyDescent="0.35">
      <c r="A69" s="5" t="s">
        <v>173</v>
      </c>
      <c r="B69" s="20">
        <v>-69691</v>
      </c>
      <c r="C69" s="13" t="s">
        <v>199</v>
      </c>
    </row>
    <row r="70" spans="1:3" x14ac:dyDescent="0.35">
      <c r="A70" s="5" t="s">
        <v>175</v>
      </c>
      <c r="B70" s="22">
        <f>B71-B69</f>
        <v>-32312</v>
      </c>
      <c r="C70" s="13" t="s">
        <v>87</v>
      </c>
    </row>
    <row r="71" spans="1:3" x14ac:dyDescent="0.35">
      <c r="A71" s="18" t="s">
        <v>176</v>
      </c>
      <c r="B71" s="19">
        <v>-102003</v>
      </c>
      <c r="C71" s="13" t="s">
        <v>177</v>
      </c>
    </row>
    <row r="72" spans="1:3" x14ac:dyDescent="0.35">
      <c r="A72" s="5" t="s">
        <v>178</v>
      </c>
      <c r="B72" s="20">
        <v>-26248</v>
      </c>
      <c r="C72" s="13" t="s">
        <v>200</v>
      </c>
    </row>
    <row r="73" spans="1:3" x14ac:dyDescent="0.35">
      <c r="A73" s="5" t="s">
        <v>179</v>
      </c>
      <c r="B73" s="20">
        <v>-5324</v>
      </c>
      <c r="C73" s="13" t="s">
        <v>208</v>
      </c>
    </row>
    <row r="74" spans="1:3" x14ac:dyDescent="0.35">
      <c r="A74" s="5" t="s">
        <v>180</v>
      </c>
      <c r="B74" s="22">
        <f>B75-B72-B73</f>
        <v>11202</v>
      </c>
      <c r="C74" s="13" t="s">
        <v>87</v>
      </c>
    </row>
    <row r="75" spans="1:3" x14ac:dyDescent="0.35">
      <c r="A75" s="18" t="s">
        <v>181</v>
      </c>
      <c r="B75" s="19">
        <v>-20370</v>
      </c>
      <c r="C75" s="13" t="s">
        <v>182</v>
      </c>
    </row>
    <row r="76" spans="1:3" x14ac:dyDescent="0.35">
      <c r="A76" s="5" t="s">
        <v>183</v>
      </c>
      <c r="B76" s="20">
        <v>235</v>
      </c>
      <c r="C76" s="13" t="s">
        <v>214</v>
      </c>
    </row>
    <row r="77" spans="1:3" x14ac:dyDescent="0.35">
      <c r="A77" s="18" t="s">
        <v>185</v>
      </c>
      <c r="B77" s="21">
        <f>B68+B71+B75+B76</f>
        <v>-6338</v>
      </c>
      <c r="C77" s="13" t="s">
        <v>87</v>
      </c>
    </row>
    <row r="78" spans="1:3" x14ac:dyDescent="0.35">
      <c r="A78" s="16" t="s">
        <v>117</v>
      </c>
      <c r="B78" s="17"/>
      <c r="C78" s="17"/>
    </row>
    <row r="79" spans="1:3" x14ac:dyDescent="0.35">
      <c r="A79" s="18" t="s">
        <v>186</v>
      </c>
      <c r="B79" s="21">
        <f>B68+B69</f>
        <v>46109</v>
      </c>
      <c r="C79" s="13" t="s">
        <v>87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9"/>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56" customWidth="1"/>
    <col min="2" max="2" width="16" customWidth="1"/>
    <col min="3" max="3" width="70" customWidth="1"/>
  </cols>
  <sheetData>
    <row r="1" spans="1:3" ht="18" x14ac:dyDescent="0.4">
      <c r="A1" s="7" t="s">
        <v>218</v>
      </c>
    </row>
    <row r="2" spans="1:3" x14ac:dyDescent="0.35">
      <c r="A2" s="13" t="s">
        <v>219</v>
      </c>
    </row>
    <row r="4" spans="1:3" x14ac:dyDescent="0.35">
      <c r="A4" s="14" t="s">
        <v>81</v>
      </c>
      <c r="B4" s="15" t="s">
        <v>50</v>
      </c>
      <c r="C4" s="14" t="s">
        <v>82</v>
      </c>
    </row>
    <row r="5" spans="1:3" x14ac:dyDescent="0.35">
      <c r="A5" s="16" t="s">
        <v>83</v>
      </c>
      <c r="B5" s="17"/>
      <c r="C5" s="17"/>
    </row>
    <row r="6" spans="1:3" x14ac:dyDescent="0.35">
      <c r="A6" s="18" t="s">
        <v>64</v>
      </c>
      <c r="B6" s="19">
        <v>416161</v>
      </c>
      <c r="C6" s="13" t="s">
        <v>84</v>
      </c>
    </row>
    <row r="7" spans="1:3" x14ac:dyDescent="0.35">
      <c r="A7" s="5" t="s">
        <v>85</v>
      </c>
      <c r="B7" s="20">
        <v>220960</v>
      </c>
      <c r="C7" s="13" t="s">
        <v>86</v>
      </c>
    </row>
    <row r="8" spans="1:3" x14ac:dyDescent="0.35">
      <c r="A8" s="18" t="s">
        <v>65</v>
      </c>
      <c r="B8" s="19">
        <v>195201</v>
      </c>
      <c r="C8" s="13" t="s">
        <v>189</v>
      </c>
    </row>
    <row r="9" spans="1:3" x14ac:dyDescent="0.35">
      <c r="A9" s="5" t="s">
        <v>88</v>
      </c>
      <c r="B9" s="20">
        <v>34550</v>
      </c>
      <c r="C9" s="13" t="s">
        <v>190</v>
      </c>
    </row>
    <row r="10" spans="1:3" x14ac:dyDescent="0.35">
      <c r="A10" s="5" t="s">
        <v>90</v>
      </c>
      <c r="B10" s="20">
        <v>27601</v>
      </c>
      <c r="C10" s="13" t="s">
        <v>206</v>
      </c>
    </row>
    <row r="11" spans="1:3" x14ac:dyDescent="0.35">
      <c r="A11" s="23" t="s">
        <v>91</v>
      </c>
      <c r="B11" s="20">
        <v>19524</v>
      </c>
      <c r="C11" s="13" t="s">
        <v>191</v>
      </c>
    </row>
    <row r="12" spans="1:3" x14ac:dyDescent="0.35">
      <c r="A12" s="23" t="s">
        <v>93</v>
      </c>
      <c r="B12" s="20">
        <v>8077</v>
      </c>
      <c r="C12" s="13" t="s">
        <v>94</v>
      </c>
    </row>
    <row r="13" spans="1:3" x14ac:dyDescent="0.35">
      <c r="A13" s="5" t="s">
        <v>95</v>
      </c>
      <c r="B13" s="22">
        <f>B6-B7-B9-B10-B15</f>
        <v>0</v>
      </c>
      <c r="C13" s="13" t="s">
        <v>87</v>
      </c>
    </row>
    <row r="14" spans="1:3" x14ac:dyDescent="0.35">
      <c r="A14" s="5" t="s">
        <v>96</v>
      </c>
      <c r="B14" s="22">
        <f>B6-B15</f>
        <v>283111</v>
      </c>
      <c r="C14" s="13" t="s">
        <v>87</v>
      </c>
    </row>
    <row r="15" spans="1:3" x14ac:dyDescent="0.35">
      <c r="A15" s="18" t="s">
        <v>66</v>
      </c>
      <c r="B15" s="19">
        <v>133050</v>
      </c>
      <c r="C15" s="13" t="s">
        <v>97</v>
      </c>
    </row>
    <row r="16" spans="1:3" x14ac:dyDescent="0.35">
      <c r="A16" s="5" t="s">
        <v>98</v>
      </c>
      <c r="B16" s="22">
        <f>B19-B15</f>
        <v>-321</v>
      </c>
      <c r="C16" s="13" t="s">
        <v>87</v>
      </c>
    </row>
    <row r="17" spans="1:3" x14ac:dyDescent="0.35">
      <c r="A17" s="23" t="s">
        <v>99</v>
      </c>
      <c r="B17" s="20"/>
      <c r="C17" s="13" t="s">
        <v>89</v>
      </c>
    </row>
    <row r="18" spans="1:3" x14ac:dyDescent="0.35">
      <c r="A18" s="23" t="s">
        <v>101</v>
      </c>
      <c r="B18" s="20"/>
      <c r="C18" s="13" t="s">
        <v>89</v>
      </c>
    </row>
    <row r="19" spans="1:3" x14ac:dyDescent="0.35">
      <c r="A19" s="18" t="s">
        <v>103</v>
      </c>
      <c r="B19" s="19">
        <v>132729</v>
      </c>
      <c r="C19" s="13" t="s">
        <v>193</v>
      </c>
    </row>
    <row r="20" spans="1:3" x14ac:dyDescent="0.35">
      <c r="A20" s="5" t="s">
        <v>105</v>
      </c>
      <c r="B20" s="20">
        <v>20719</v>
      </c>
      <c r="C20" s="13" t="s">
        <v>106</v>
      </c>
    </row>
    <row r="21" spans="1:3" x14ac:dyDescent="0.35">
      <c r="A21" s="5" t="s">
        <v>107</v>
      </c>
      <c r="B21" s="22">
        <f>B22-B19+B20</f>
        <v>0</v>
      </c>
      <c r="C21" s="13" t="s">
        <v>87</v>
      </c>
    </row>
    <row r="22" spans="1:3" x14ac:dyDescent="0.35">
      <c r="A22" s="18" t="s">
        <v>68</v>
      </c>
      <c r="B22" s="19">
        <v>112010</v>
      </c>
      <c r="C22" s="13" t="s">
        <v>108</v>
      </c>
    </row>
    <row r="23" spans="1:3" x14ac:dyDescent="0.35">
      <c r="A23" s="5" t="s">
        <v>109</v>
      </c>
      <c r="B23" s="24">
        <v>7.49</v>
      </c>
      <c r="C23" s="13" t="s">
        <v>110</v>
      </c>
    </row>
    <row r="24" spans="1:3" x14ac:dyDescent="0.35">
      <c r="A24" s="5" t="s">
        <v>111</v>
      </c>
      <c r="B24" s="24">
        <v>7.46</v>
      </c>
      <c r="C24" s="13" t="s">
        <v>112</v>
      </c>
    </row>
    <row r="25" spans="1:3" x14ac:dyDescent="0.35">
      <c r="A25" s="5" t="s">
        <v>113</v>
      </c>
      <c r="B25" s="20">
        <v>14948.5</v>
      </c>
      <c r="C25" s="13" t="s">
        <v>114</v>
      </c>
    </row>
    <row r="26" spans="1:3" x14ac:dyDescent="0.35">
      <c r="A26" s="5" t="s">
        <v>115</v>
      </c>
      <c r="B26" s="20">
        <v>15004.697</v>
      </c>
      <c r="C26" s="13" t="s">
        <v>116</v>
      </c>
    </row>
    <row r="27" spans="1:3" x14ac:dyDescent="0.35">
      <c r="A27" s="16" t="s">
        <v>117</v>
      </c>
      <c r="B27" s="17"/>
      <c r="C27" s="17"/>
    </row>
    <row r="28" spans="1:3" x14ac:dyDescent="0.35">
      <c r="A28" s="5" t="s">
        <v>118</v>
      </c>
      <c r="B28" s="20">
        <v>11698</v>
      </c>
      <c r="C28" s="13" t="s">
        <v>119</v>
      </c>
    </row>
    <row r="29" spans="1:3" x14ac:dyDescent="0.35">
      <c r="A29" s="5" t="s">
        <v>120</v>
      </c>
      <c r="B29" s="20"/>
      <c r="C29" s="13" t="s">
        <v>89</v>
      </c>
    </row>
    <row r="30" spans="1:3" x14ac:dyDescent="0.35">
      <c r="A30" s="5" t="s">
        <v>122</v>
      </c>
      <c r="B30" s="20">
        <v>12863</v>
      </c>
      <c r="C30" s="13" t="s">
        <v>123</v>
      </c>
    </row>
    <row r="31" spans="1:3" x14ac:dyDescent="0.35">
      <c r="A31" s="18" t="s">
        <v>124</v>
      </c>
      <c r="B31" s="21">
        <f>B15+B28</f>
        <v>144748</v>
      </c>
      <c r="C31" s="13" t="s">
        <v>87</v>
      </c>
    </row>
    <row r="33" spans="1:3" x14ac:dyDescent="0.35">
      <c r="A33" s="16" t="s">
        <v>125</v>
      </c>
      <c r="B33" s="17"/>
      <c r="C33" s="17"/>
    </row>
    <row r="34" spans="1:3" x14ac:dyDescent="0.35">
      <c r="A34" s="5" t="s">
        <v>126</v>
      </c>
      <c r="B34" s="20">
        <v>35934</v>
      </c>
      <c r="C34" s="13" t="s">
        <v>127</v>
      </c>
    </row>
    <row r="35" spans="1:3" x14ac:dyDescent="0.35">
      <c r="A35" s="5" t="s">
        <v>128</v>
      </c>
      <c r="B35" s="20">
        <v>18763</v>
      </c>
      <c r="C35" s="13" t="s">
        <v>129</v>
      </c>
    </row>
    <row r="36" spans="1:3" x14ac:dyDescent="0.35">
      <c r="A36" s="5" t="s">
        <v>130</v>
      </c>
      <c r="B36" s="20">
        <v>39777</v>
      </c>
      <c r="C36" s="13" t="s">
        <v>131</v>
      </c>
    </row>
    <row r="37" spans="1:3" x14ac:dyDescent="0.35">
      <c r="A37" s="5" t="s">
        <v>132</v>
      </c>
      <c r="B37" s="20">
        <v>5718</v>
      </c>
      <c r="C37" s="13" t="s">
        <v>133</v>
      </c>
    </row>
    <row r="38" spans="1:3" x14ac:dyDescent="0.35">
      <c r="A38" s="5" t="s">
        <v>134</v>
      </c>
      <c r="B38" s="22">
        <f>B39-B34-B35-B36-B37</f>
        <v>47765</v>
      </c>
      <c r="C38" s="13" t="s">
        <v>87</v>
      </c>
    </row>
    <row r="39" spans="1:3" x14ac:dyDescent="0.35">
      <c r="A39" s="18" t="s">
        <v>135</v>
      </c>
      <c r="B39" s="19">
        <v>147957</v>
      </c>
      <c r="C39" s="13" t="s">
        <v>136</v>
      </c>
    </row>
    <row r="40" spans="1:3" x14ac:dyDescent="0.35">
      <c r="A40" s="5" t="s">
        <v>137</v>
      </c>
      <c r="B40" s="20">
        <v>49834</v>
      </c>
      <c r="C40" s="13" t="s">
        <v>138</v>
      </c>
    </row>
    <row r="41" spans="1:3" x14ac:dyDescent="0.35">
      <c r="A41" s="5" t="s">
        <v>139</v>
      </c>
      <c r="B41" s="20">
        <v>11205</v>
      </c>
      <c r="C41" s="13" t="s">
        <v>140</v>
      </c>
    </row>
    <row r="42" spans="1:3" x14ac:dyDescent="0.35">
      <c r="A42" s="5" t="s">
        <v>141</v>
      </c>
      <c r="B42" s="20"/>
      <c r="C42" s="13" t="s">
        <v>89</v>
      </c>
    </row>
    <row r="43" spans="1:3" x14ac:dyDescent="0.35">
      <c r="A43" s="5" t="s">
        <v>142</v>
      </c>
      <c r="B43" s="20"/>
      <c r="C43" s="13" t="s">
        <v>89</v>
      </c>
    </row>
    <row r="44" spans="1:3" x14ac:dyDescent="0.35">
      <c r="A44" s="5" t="s">
        <v>144</v>
      </c>
      <c r="B44" s="22">
        <f>B45-B39-B40-B41-B42-B43</f>
        <v>150245</v>
      </c>
      <c r="C44" s="13" t="s">
        <v>87</v>
      </c>
    </row>
    <row r="45" spans="1:3" x14ac:dyDescent="0.35">
      <c r="A45" s="18" t="s">
        <v>75</v>
      </c>
      <c r="B45" s="19">
        <v>359241</v>
      </c>
      <c r="C45" s="13" t="s">
        <v>145</v>
      </c>
    </row>
    <row r="46" spans="1:3" x14ac:dyDescent="0.35">
      <c r="A46" s="5" t="s">
        <v>146</v>
      </c>
      <c r="B46" s="20">
        <v>69860</v>
      </c>
      <c r="C46" s="13" t="s">
        <v>147</v>
      </c>
    </row>
    <row r="47" spans="1:3" x14ac:dyDescent="0.35">
      <c r="A47" s="5" t="s">
        <v>148</v>
      </c>
      <c r="B47" s="20">
        <v>9055</v>
      </c>
      <c r="C47" s="13" t="s">
        <v>149</v>
      </c>
    </row>
    <row r="48" spans="1:3" x14ac:dyDescent="0.35">
      <c r="A48" s="5" t="s">
        <v>150</v>
      </c>
      <c r="B48" s="20">
        <v>20329</v>
      </c>
      <c r="C48" s="13" t="s">
        <v>197</v>
      </c>
    </row>
    <row r="49" spans="1:3" x14ac:dyDescent="0.35">
      <c r="A49" s="5" t="s">
        <v>152</v>
      </c>
      <c r="B49" s="22">
        <f>B50-B46-B47-B48</f>
        <v>66387</v>
      </c>
      <c r="C49" s="13" t="s">
        <v>87</v>
      </c>
    </row>
    <row r="50" spans="1:3" x14ac:dyDescent="0.35">
      <c r="A50" s="18" t="s">
        <v>153</v>
      </c>
      <c r="B50" s="19">
        <v>165631</v>
      </c>
      <c r="C50" s="13" t="s">
        <v>154</v>
      </c>
    </row>
    <row r="51" spans="1:3" x14ac:dyDescent="0.35">
      <c r="A51" s="5" t="s">
        <v>155</v>
      </c>
      <c r="B51" s="20">
        <v>78328</v>
      </c>
      <c r="C51" s="13" t="s">
        <v>156</v>
      </c>
    </row>
    <row r="52" spans="1:3" x14ac:dyDescent="0.35">
      <c r="A52" s="5" t="s">
        <v>157</v>
      </c>
      <c r="B52" s="22">
        <f>B53-B50-B51</f>
        <v>41549</v>
      </c>
      <c r="C52" s="13" t="s">
        <v>87</v>
      </c>
    </row>
    <row r="53" spans="1:3" x14ac:dyDescent="0.35">
      <c r="A53" s="18" t="s">
        <v>158</v>
      </c>
      <c r="B53" s="19">
        <v>285508</v>
      </c>
      <c r="C53" s="13" t="s">
        <v>198</v>
      </c>
    </row>
    <row r="54" spans="1:3" x14ac:dyDescent="0.35">
      <c r="A54" s="18" t="s">
        <v>159</v>
      </c>
      <c r="B54" s="19">
        <v>73733</v>
      </c>
      <c r="C54" s="13" t="s">
        <v>160</v>
      </c>
    </row>
    <row r="55" spans="1:3" x14ac:dyDescent="0.35">
      <c r="A55" s="18" t="s">
        <v>161</v>
      </c>
      <c r="B55" s="19">
        <v>359241</v>
      </c>
      <c r="C55" s="13" t="s">
        <v>162</v>
      </c>
    </row>
    <row r="56" spans="1:3" x14ac:dyDescent="0.35">
      <c r="A56" s="5" t="s">
        <v>163</v>
      </c>
      <c r="B56" s="22">
        <f>B45-B55</f>
        <v>0</v>
      </c>
      <c r="C56" s="13" t="s">
        <v>87</v>
      </c>
    </row>
    <row r="57" spans="1:3" x14ac:dyDescent="0.35">
      <c r="A57" s="16" t="s">
        <v>117</v>
      </c>
      <c r="B57" s="17"/>
      <c r="C57" s="17"/>
    </row>
    <row r="58" spans="1:3" x14ac:dyDescent="0.35">
      <c r="A58" s="5" t="s">
        <v>164</v>
      </c>
      <c r="B58" s="22">
        <f>B48+B51</f>
        <v>98657</v>
      </c>
      <c r="C58" s="13" t="s">
        <v>87</v>
      </c>
    </row>
    <row r="59" spans="1:3" x14ac:dyDescent="0.35">
      <c r="A59" s="5" t="s">
        <v>165</v>
      </c>
      <c r="B59" s="22">
        <f>B34+B35</f>
        <v>54697</v>
      </c>
      <c r="C59" s="13" t="s">
        <v>87</v>
      </c>
    </row>
    <row r="60" spans="1:3" x14ac:dyDescent="0.35">
      <c r="A60" s="5" t="s">
        <v>166</v>
      </c>
      <c r="B60" s="22">
        <f>B58-B59</f>
        <v>43960</v>
      </c>
      <c r="C60" s="13" t="s">
        <v>87</v>
      </c>
    </row>
    <row r="61" spans="1:3" x14ac:dyDescent="0.35">
      <c r="A61" s="5" t="s">
        <v>167</v>
      </c>
      <c r="B61" s="20">
        <v>14773.26</v>
      </c>
      <c r="C61" s="13" t="s">
        <v>168</v>
      </c>
    </row>
    <row r="63" spans="1:3" x14ac:dyDescent="0.35">
      <c r="A63" s="16" t="s">
        <v>169</v>
      </c>
      <c r="B63" s="17"/>
      <c r="C63" s="17"/>
    </row>
    <row r="64" spans="1:3" x14ac:dyDescent="0.35">
      <c r="A64" s="5" t="s">
        <v>68</v>
      </c>
      <c r="B64" s="22">
        <f>B22</f>
        <v>112010</v>
      </c>
      <c r="C64" s="13" t="s">
        <v>87</v>
      </c>
    </row>
    <row r="65" spans="1:3" x14ac:dyDescent="0.35">
      <c r="A65" s="5" t="s">
        <v>118</v>
      </c>
      <c r="B65" s="22">
        <f>B28</f>
        <v>11698</v>
      </c>
      <c r="C65" s="13" t="s">
        <v>87</v>
      </c>
    </row>
    <row r="66" spans="1:3" x14ac:dyDescent="0.35">
      <c r="A66" s="5" t="s">
        <v>122</v>
      </c>
      <c r="B66" s="22">
        <f>B30</f>
        <v>12863</v>
      </c>
      <c r="C66" s="13" t="s">
        <v>87</v>
      </c>
    </row>
    <row r="67" spans="1:3" x14ac:dyDescent="0.35">
      <c r="A67" s="5" t="s">
        <v>170</v>
      </c>
      <c r="B67" s="22">
        <f>B68-B64-B65-B66</f>
        <v>-25089</v>
      </c>
      <c r="C67" s="13" t="s">
        <v>87</v>
      </c>
    </row>
    <row r="68" spans="1:3" x14ac:dyDescent="0.35">
      <c r="A68" s="18" t="s">
        <v>171</v>
      </c>
      <c r="B68" s="19">
        <v>111482</v>
      </c>
      <c r="C68" s="13" t="s">
        <v>172</v>
      </c>
    </row>
    <row r="69" spans="1:3" x14ac:dyDescent="0.35">
      <c r="A69" s="5" t="s">
        <v>173</v>
      </c>
      <c r="B69" s="20">
        <v>-12715</v>
      </c>
      <c r="C69" s="13" t="s">
        <v>199</v>
      </c>
    </row>
    <row r="70" spans="1:3" x14ac:dyDescent="0.35">
      <c r="A70" s="5" t="s">
        <v>175</v>
      </c>
      <c r="B70" s="22">
        <f>B71-B69</f>
        <v>27910</v>
      </c>
      <c r="C70" s="13" t="s">
        <v>87</v>
      </c>
    </row>
    <row r="71" spans="1:3" x14ac:dyDescent="0.35">
      <c r="A71" s="18" t="s">
        <v>176</v>
      </c>
      <c r="B71" s="19">
        <v>15195</v>
      </c>
      <c r="C71" s="13" t="s">
        <v>177</v>
      </c>
    </row>
    <row r="72" spans="1:3" x14ac:dyDescent="0.35">
      <c r="A72" s="5" t="s">
        <v>178</v>
      </c>
      <c r="B72" s="20">
        <v>-90711</v>
      </c>
      <c r="C72" s="13" t="s">
        <v>200</v>
      </c>
    </row>
    <row r="73" spans="1:3" x14ac:dyDescent="0.35">
      <c r="A73" s="5" t="s">
        <v>179</v>
      </c>
      <c r="B73" s="20">
        <v>-15421</v>
      </c>
      <c r="C73" s="13" t="s">
        <v>208</v>
      </c>
    </row>
    <row r="74" spans="1:3" x14ac:dyDescent="0.35">
      <c r="A74" s="5" t="s">
        <v>180</v>
      </c>
      <c r="B74" s="22">
        <f>B75-B72-B73</f>
        <v>-14554</v>
      </c>
      <c r="C74" s="13" t="s">
        <v>87</v>
      </c>
    </row>
    <row r="75" spans="1:3" x14ac:dyDescent="0.35">
      <c r="A75" s="18" t="s">
        <v>181</v>
      </c>
      <c r="B75" s="19">
        <v>-120686</v>
      </c>
      <c r="C75" s="13" t="s">
        <v>182</v>
      </c>
    </row>
    <row r="76" spans="1:3" x14ac:dyDescent="0.35">
      <c r="A76" s="5" t="s">
        <v>183</v>
      </c>
      <c r="B76" s="20"/>
      <c r="C76" s="13" t="s">
        <v>89</v>
      </c>
    </row>
    <row r="77" spans="1:3" x14ac:dyDescent="0.35">
      <c r="A77" s="18" t="s">
        <v>185</v>
      </c>
      <c r="B77" s="21">
        <f>B68+B71+B75+B76</f>
        <v>5991</v>
      </c>
      <c r="C77" s="13" t="s">
        <v>87</v>
      </c>
    </row>
    <row r="78" spans="1:3" x14ac:dyDescent="0.35">
      <c r="A78" s="16" t="s">
        <v>117</v>
      </c>
      <c r="B78" s="17"/>
      <c r="C78" s="17"/>
    </row>
    <row r="79" spans="1:3" x14ac:dyDescent="0.35">
      <c r="A79" s="18" t="s">
        <v>186</v>
      </c>
      <c r="B79" s="21">
        <f>B68+B69</f>
        <v>98767</v>
      </c>
      <c r="C79" s="13" t="s">
        <v>87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9"/>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56" customWidth="1"/>
    <col min="2" max="2" width="16" customWidth="1"/>
    <col min="3" max="3" width="70" customWidth="1"/>
  </cols>
  <sheetData>
    <row r="1" spans="1:3" ht="18" x14ac:dyDescent="0.4">
      <c r="A1" s="7" t="s">
        <v>220</v>
      </c>
    </row>
    <row r="2" spans="1:3" x14ac:dyDescent="0.35">
      <c r="A2" s="13" t="s">
        <v>221</v>
      </c>
    </row>
    <row r="4" spans="1:3" x14ac:dyDescent="0.35">
      <c r="A4" s="14" t="s">
        <v>81</v>
      </c>
      <c r="B4" s="15" t="s">
        <v>55</v>
      </c>
      <c r="C4" s="14" t="s">
        <v>82</v>
      </c>
    </row>
    <row r="5" spans="1:3" x14ac:dyDescent="0.35">
      <c r="A5" s="16" t="s">
        <v>83</v>
      </c>
      <c r="B5" s="17"/>
      <c r="C5" s="17"/>
    </row>
    <row r="6" spans="1:3" x14ac:dyDescent="0.35">
      <c r="A6" s="18" t="s">
        <v>64</v>
      </c>
      <c r="B6" s="19">
        <v>63887</v>
      </c>
      <c r="C6" s="13" t="s">
        <v>84</v>
      </c>
    </row>
    <row r="7" spans="1:3" x14ac:dyDescent="0.35">
      <c r="A7" s="5" t="s">
        <v>85</v>
      </c>
      <c r="B7" s="20">
        <v>20593</v>
      </c>
      <c r="C7" s="13" t="s">
        <v>205</v>
      </c>
    </row>
    <row r="8" spans="1:3" x14ac:dyDescent="0.35">
      <c r="A8" s="18" t="s">
        <v>65</v>
      </c>
      <c r="B8" s="19">
        <v>43294</v>
      </c>
      <c r="C8" s="13" t="s">
        <v>189</v>
      </c>
    </row>
    <row r="9" spans="1:3" x14ac:dyDescent="0.35">
      <c r="A9" s="5" t="s">
        <v>88</v>
      </c>
      <c r="B9" s="20">
        <v>10977</v>
      </c>
      <c r="C9" s="13" t="s">
        <v>190</v>
      </c>
    </row>
    <row r="10" spans="1:3" x14ac:dyDescent="0.35">
      <c r="A10" s="5" t="s">
        <v>90</v>
      </c>
      <c r="B10" s="20">
        <v>4211</v>
      </c>
      <c r="C10" s="13" t="s">
        <v>206</v>
      </c>
    </row>
    <row r="11" spans="1:3" x14ac:dyDescent="0.35">
      <c r="A11" s="23" t="s">
        <v>91</v>
      </c>
      <c r="B11" s="20"/>
      <c r="C11" s="13" t="s">
        <v>89</v>
      </c>
    </row>
    <row r="12" spans="1:3" x14ac:dyDescent="0.35">
      <c r="A12" s="23" t="s">
        <v>93</v>
      </c>
      <c r="B12" s="20"/>
      <c r="C12" s="13" t="s">
        <v>89</v>
      </c>
    </row>
    <row r="13" spans="1:3" x14ac:dyDescent="0.35">
      <c r="A13" s="5" t="s">
        <v>95</v>
      </c>
      <c r="B13" s="22">
        <f>B6-B7-B9-B10-B15</f>
        <v>2622</v>
      </c>
      <c r="C13" s="13" t="s">
        <v>87</v>
      </c>
    </row>
    <row r="14" spans="1:3" x14ac:dyDescent="0.35">
      <c r="A14" s="5" t="s">
        <v>96</v>
      </c>
      <c r="B14" s="22">
        <f>B6-B15</f>
        <v>38403</v>
      </c>
      <c r="C14" s="13" t="s">
        <v>87</v>
      </c>
    </row>
    <row r="15" spans="1:3" x14ac:dyDescent="0.35">
      <c r="A15" s="18" t="s">
        <v>66</v>
      </c>
      <c r="B15" s="19">
        <v>25484</v>
      </c>
      <c r="C15" s="13" t="s">
        <v>97</v>
      </c>
    </row>
    <row r="16" spans="1:3" x14ac:dyDescent="0.35">
      <c r="A16" s="5" t="s">
        <v>98</v>
      </c>
      <c r="B16" s="22">
        <f>B19-B15</f>
        <v>-2755</v>
      </c>
      <c r="C16" s="13" t="s">
        <v>87</v>
      </c>
    </row>
    <row r="17" spans="1:3" x14ac:dyDescent="0.35">
      <c r="A17" s="23" t="s">
        <v>99</v>
      </c>
      <c r="B17" s="20">
        <v>347</v>
      </c>
      <c r="C17" s="13" t="s">
        <v>211</v>
      </c>
    </row>
    <row r="18" spans="1:3" x14ac:dyDescent="0.35">
      <c r="A18" s="23" t="s">
        <v>101</v>
      </c>
      <c r="B18" s="20">
        <v>3210</v>
      </c>
      <c r="C18" s="13" t="s">
        <v>102</v>
      </c>
    </row>
    <row r="19" spans="1:3" x14ac:dyDescent="0.35">
      <c r="A19" s="18" t="s">
        <v>103</v>
      </c>
      <c r="B19" s="19">
        <v>22729</v>
      </c>
      <c r="C19" s="13" t="s">
        <v>193</v>
      </c>
    </row>
    <row r="20" spans="1:3" x14ac:dyDescent="0.35">
      <c r="A20" s="5" t="s">
        <v>105</v>
      </c>
      <c r="B20" s="20">
        <v>-397</v>
      </c>
      <c r="C20" s="13" t="s">
        <v>106</v>
      </c>
    </row>
    <row r="21" spans="1:3" x14ac:dyDescent="0.35">
      <c r="A21" s="5" t="s">
        <v>107</v>
      </c>
      <c r="B21" s="22">
        <f>B22-B19+B20</f>
        <v>0</v>
      </c>
      <c r="C21" s="13" t="s">
        <v>87</v>
      </c>
    </row>
    <row r="22" spans="1:3" x14ac:dyDescent="0.35">
      <c r="A22" s="18" t="s">
        <v>68</v>
      </c>
      <c r="B22" s="19">
        <v>23126</v>
      </c>
      <c r="C22" s="13" t="s">
        <v>222</v>
      </c>
    </row>
    <row r="23" spans="1:3" x14ac:dyDescent="0.35">
      <c r="A23" s="5" t="s">
        <v>109</v>
      </c>
      <c r="B23" s="24">
        <v>4.91</v>
      </c>
      <c r="C23" s="13" t="s">
        <v>110</v>
      </c>
    </row>
    <row r="24" spans="1:3" x14ac:dyDescent="0.35">
      <c r="A24" s="5" t="s">
        <v>111</v>
      </c>
      <c r="B24" s="24">
        <v>4.7699999999999996</v>
      </c>
      <c r="C24" s="13" t="s">
        <v>112</v>
      </c>
    </row>
    <row r="25" spans="1:3" x14ac:dyDescent="0.35">
      <c r="A25" s="5" t="s">
        <v>113</v>
      </c>
      <c r="B25" s="20">
        <v>4712</v>
      </c>
      <c r="C25" s="13" t="s">
        <v>114</v>
      </c>
    </row>
    <row r="26" spans="1:3" x14ac:dyDescent="0.35">
      <c r="A26" s="5" t="s">
        <v>115</v>
      </c>
      <c r="B26" s="20">
        <v>4853</v>
      </c>
      <c r="C26" s="13" t="s">
        <v>116</v>
      </c>
    </row>
    <row r="27" spans="1:3" x14ac:dyDescent="0.35">
      <c r="A27" s="16" t="s">
        <v>117</v>
      </c>
      <c r="B27" s="17"/>
      <c r="C27" s="17"/>
    </row>
    <row r="28" spans="1:3" x14ac:dyDescent="0.35">
      <c r="A28" s="5" t="s">
        <v>118</v>
      </c>
      <c r="B28" s="20">
        <v>8636</v>
      </c>
      <c r="C28" s="13" t="s">
        <v>194</v>
      </c>
    </row>
    <row r="29" spans="1:3" x14ac:dyDescent="0.35">
      <c r="A29" s="5" t="s">
        <v>120</v>
      </c>
      <c r="B29" s="20">
        <v>8062</v>
      </c>
      <c r="C29" s="13" t="s">
        <v>121</v>
      </c>
    </row>
    <row r="30" spans="1:3" x14ac:dyDescent="0.35">
      <c r="A30" s="5" t="s">
        <v>122</v>
      </c>
      <c r="B30" s="20">
        <v>7568</v>
      </c>
      <c r="C30" s="13" t="s">
        <v>123</v>
      </c>
    </row>
    <row r="31" spans="1:3" x14ac:dyDescent="0.35">
      <c r="A31" s="18" t="s">
        <v>124</v>
      </c>
      <c r="B31" s="21">
        <f>B15+B28</f>
        <v>34120</v>
      </c>
      <c r="C31" s="13" t="s">
        <v>87</v>
      </c>
    </row>
    <row r="33" spans="1:3" x14ac:dyDescent="0.35">
      <c r="A33" s="16" t="s">
        <v>125</v>
      </c>
      <c r="B33" s="17"/>
      <c r="C33" s="17"/>
    </row>
    <row r="34" spans="1:3" x14ac:dyDescent="0.35">
      <c r="A34" s="5" t="s">
        <v>126</v>
      </c>
      <c r="B34" s="20">
        <v>16178</v>
      </c>
      <c r="C34" s="13" t="s">
        <v>127</v>
      </c>
    </row>
    <row r="35" spans="1:3" x14ac:dyDescent="0.35">
      <c r="A35" s="5" t="s">
        <v>128</v>
      </c>
      <c r="B35" s="20"/>
      <c r="C35" s="13" t="s">
        <v>89</v>
      </c>
    </row>
    <row r="36" spans="1:3" x14ac:dyDescent="0.35">
      <c r="A36" s="5" t="s">
        <v>130</v>
      </c>
      <c r="B36" s="20">
        <v>7145</v>
      </c>
      <c r="C36" s="13" t="s">
        <v>131</v>
      </c>
    </row>
    <row r="37" spans="1:3" x14ac:dyDescent="0.35">
      <c r="A37" s="5" t="s">
        <v>132</v>
      </c>
      <c r="B37" s="20">
        <v>2270</v>
      </c>
      <c r="C37" s="13" t="s">
        <v>133</v>
      </c>
    </row>
    <row r="38" spans="1:3" x14ac:dyDescent="0.35">
      <c r="A38" s="5" t="s">
        <v>134</v>
      </c>
      <c r="B38" s="22">
        <f>B39-B34-B35-B36-B37</f>
        <v>5980</v>
      </c>
      <c r="C38" s="13" t="s">
        <v>87</v>
      </c>
    </row>
    <row r="39" spans="1:3" x14ac:dyDescent="0.35">
      <c r="A39" s="18" t="s">
        <v>135</v>
      </c>
      <c r="B39" s="19">
        <v>31573</v>
      </c>
      <c r="C39" s="13" t="s">
        <v>136</v>
      </c>
    </row>
    <row r="40" spans="1:3" x14ac:dyDescent="0.35">
      <c r="A40" s="5" t="s">
        <v>137</v>
      </c>
      <c r="B40" s="20">
        <v>2530</v>
      </c>
      <c r="C40" s="13" t="s">
        <v>138</v>
      </c>
    </row>
    <row r="41" spans="1:3" x14ac:dyDescent="0.35">
      <c r="A41" s="5" t="s">
        <v>139</v>
      </c>
      <c r="B41" s="20">
        <v>1318</v>
      </c>
      <c r="C41" s="13" t="s">
        <v>140</v>
      </c>
    </row>
    <row r="42" spans="1:3" x14ac:dyDescent="0.35">
      <c r="A42" s="5" t="s">
        <v>141</v>
      </c>
      <c r="B42" s="20">
        <v>97801</v>
      </c>
      <c r="C42" s="13" t="s">
        <v>141</v>
      </c>
    </row>
    <row r="43" spans="1:3" x14ac:dyDescent="0.35">
      <c r="A43" s="5" t="s">
        <v>142</v>
      </c>
      <c r="B43" s="20">
        <v>32273</v>
      </c>
      <c r="C43" s="13" t="s">
        <v>143</v>
      </c>
    </row>
    <row r="44" spans="1:3" x14ac:dyDescent="0.35">
      <c r="A44" s="5" t="s">
        <v>144</v>
      </c>
      <c r="B44" s="22">
        <f>B45-B39-B40-B41-B42-B43</f>
        <v>5597</v>
      </c>
      <c r="C44" s="13" t="s">
        <v>87</v>
      </c>
    </row>
    <row r="45" spans="1:3" x14ac:dyDescent="0.35">
      <c r="A45" s="18" t="s">
        <v>75</v>
      </c>
      <c r="B45" s="19">
        <v>171092</v>
      </c>
      <c r="C45" s="13" t="s">
        <v>145</v>
      </c>
    </row>
    <row r="46" spans="1:3" x14ac:dyDescent="0.35">
      <c r="A46" s="5" t="s">
        <v>146</v>
      </c>
      <c r="B46" s="20">
        <v>1560</v>
      </c>
      <c r="C46" s="13" t="s">
        <v>147</v>
      </c>
    </row>
    <row r="47" spans="1:3" x14ac:dyDescent="0.35">
      <c r="A47" s="5" t="s">
        <v>148</v>
      </c>
      <c r="B47" s="20">
        <v>9469</v>
      </c>
      <c r="C47" s="13" t="s">
        <v>149</v>
      </c>
    </row>
    <row r="48" spans="1:3" x14ac:dyDescent="0.35">
      <c r="A48" s="5" t="s">
        <v>150</v>
      </c>
      <c r="B48" s="20">
        <v>3152</v>
      </c>
      <c r="C48" s="13" t="s">
        <v>223</v>
      </c>
    </row>
    <row r="49" spans="1:3" x14ac:dyDescent="0.35">
      <c r="A49" s="5" t="s">
        <v>152</v>
      </c>
      <c r="B49" s="22">
        <f>B50-B46-B47-B48</f>
        <v>4333</v>
      </c>
      <c r="C49" s="13" t="s">
        <v>87</v>
      </c>
    </row>
    <row r="50" spans="1:3" x14ac:dyDescent="0.35">
      <c r="A50" s="18" t="s">
        <v>153</v>
      </c>
      <c r="B50" s="19">
        <v>18514</v>
      </c>
      <c r="C50" s="13" t="s">
        <v>154</v>
      </c>
    </row>
    <row r="51" spans="1:3" x14ac:dyDescent="0.35">
      <c r="A51" s="5" t="s">
        <v>155</v>
      </c>
      <c r="B51" s="20">
        <v>61984</v>
      </c>
      <c r="C51" s="13" t="s">
        <v>224</v>
      </c>
    </row>
    <row r="52" spans="1:3" x14ac:dyDescent="0.35">
      <c r="A52" s="5" t="s">
        <v>157</v>
      </c>
      <c r="B52" s="22">
        <f>B53-B50-B51</f>
        <v>9302</v>
      </c>
      <c r="C52" s="13" t="s">
        <v>87</v>
      </c>
    </row>
    <row r="53" spans="1:3" x14ac:dyDescent="0.35">
      <c r="A53" s="18" t="s">
        <v>158</v>
      </c>
      <c r="B53" s="19">
        <v>89800</v>
      </c>
      <c r="C53" s="13" t="s">
        <v>198</v>
      </c>
    </row>
    <row r="54" spans="1:3" x14ac:dyDescent="0.35">
      <c r="A54" s="18" t="s">
        <v>159</v>
      </c>
      <c r="B54" s="19">
        <v>81292</v>
      </c>
      <c r="C54" s="13" t="s">
        <v>225</v>
      </c>
    </row>
    <row r="55" spans="1:3" x14ac:dyDescent="0.35">
      <c r="A55" s="18" t="s">
        <v>161</v>
      </c>
      <c r="B55" s="19">
        <v>171092</v>
      </c>
      <c r="C55" s="13" t="s">
        <v>162</v>
      </c>
    </row>
    <row r="56" spans="1:3" x14ac:dyDescent="0.35">
      <c r="A56" s="5" t="s">
        <v>163</v>
      </c>
      <c r="B56" s="22">
        <f>B45-B55</f>
        <v>0</v>
      </c>
      <c r="C56" s="13" t="s">
        <v>87</v>
      </c>
    </row>
    <row r="57" spans="1:3" x14ac:dyDescent="0.35">
      <c r="A57" s="16" t="s">
        <v>117</v>
      </c>
      <c r="B57" s="17"/>
      <c r="C57" s="17"/>
    </row>
    <row r="58" spans="1:3" x14ac:dyDescent="0.35">
      <c r="A58" s="5" t="s">
        <v>164</v>
      </c>
      <c r="B58" s="22">
        <f>B48+B51</f>
        <v>65136</v>
      </c>
      <c r="C58" s="13" t="s">
        <v>87</v>
      </c>
    </row>
    <row r="59" spans="1:3" x14ac:dyDescent="0.35">
      <c r="A59" s="5" t="s">
        <v>165</v>
      </c>
      <c r="B59" s="22">
        <f>B34+B35</f>
        <v>16178</v>
      </c>
      <c r="C59" s="13" t="s">
        <v>87</v>
      </c>
    </row>
    <row r="60" spans="1:3" x14ac:dyDescent="0.35">
      <c r="A60" s="5" t="s">
        <v>166</v>
      </c>
      <c r="B60" s="22">
        <f>B58-B59</f>
        <v>48958</v>
      </c>
      <c r="C60" s="13" t="s">
        <v>87</v>
      </c>
    </row>
    <row r="61" spans="1:3" x14ac:dyDescent="0.35">
      <c r="A61" s="5" t="s">
        <v>167</v>
      </c>
      <c r="B61" s="20">
        <v>4741</v>
      </c>
      <c r="C61" s="13" t="s">
        <v>168</v>
      </c>
    </row>
    <row r="63" spans="1:3" x14ac:dyDescent="0.35">
      <c r="A63" s="16" t="s">
        <v>169</v>
      </c>
      <c r="B63" s="17"/>
      <c r="C63" s="17"/>
    </row>
    <row r="64" spans="1:3" x14ac:dyDescent="0.35">
      <c r="A64" s="5" t="s">
        <v>68</v>
      </c>
      <c r="B64" s="22">
        <f>B22</f>
        <v>23126</v>
      </c>
      <c r="C64" s="13" t="s">
        <v>87</v>
      </c>
    </row>
    <row r="65" spans="1:3" x14ac:dyDescent="0.35">
      <c r="A65" s="5" t="s">
        <v>118</v>
      </c>
      <c r="B65" s="22">
        <f>B28</f>
        <v>8636</v>
      </c>
      <c r="C65" s="13" t="s">
        <v>87</v>
      </c>
    </row>
    <row r="66" spans="1:3" x14ac:dyDescent="0.35">
      <c r="A66" s="5" t="s">
        <v>122</v>
      </c>
      <c r="B66" s="22">
        <f>B30</f>
        <v>7568</v>
      </c>
      <c r="C66" s="13" t="s">
        <v>87</v>
      </c>
    </row>
    <row r="67" spans="1:3" x14ac:dyDescent="0.35">
      <c r="A67" s="5" t="s">
        <v>170</v>
      </c>
      <c r="B67" s="22">
        <f>B68-B64-B65-B66</f>
        <v>-11793</v>
      </c>
      <c r="C67" s="13" t="s">
        <v>87</v>
      </c>
    </row>
    <row r="68" spans="1:3" x14ac:dyDescent="0.35">
      <c r="A68" s="18" t="s">
        <v>171</v>
      </c>
      <c r="B68" s="19">
        <v>27537</v>
      </c>
      <c r="C68" s="13" t="s">
        <v>172</v>
      </c>
    </row>
    <row r="69" spans="1:3" x14ac:dyDescent="0.35">
      <c r="A69" s="5" t="s">
        <v>173</v>
      </c>
      <c r="B69" s="20">
        <v>-623</v>
      </c>
      <c r="C69" s="13" t="s">
        <v>199</v>
      </c>
    </row>
    <row r="70" spans="1:3" x14ac:dyDescent="0.35">
      <c r="A70" s="5" t="s">
        <v>175</v>
      </c>
      <c r="B70" s="22">
        <f>B71-B69</f>
        <v>43</v>
      </c>
      <c r="C70" s="13" t="s">
        <v>87</v>
      </c>
    </row>
    <row r="71" spans="1:3" x14ac:dyDescent="0.35">
      <c r="A71" s="18" t="s">
        <v>176</v>
      </c>
      <c r="B71" s="19">
        <v>-580</v>
      </c>
      <c r="C71" s="13" t="s">
        <v>177</v>
      </c>
    </row>
    <row r="72" spans="1:3" x14ac:dyDescent="0.35">
      <c r="A72" s="5" t="s">
        <v>178</v>
      </c>
      <c r="B72" s="20">
        <v>-2450</v>
      </c>
      <c r="C72" s="13" t="s">
        <v>200</v>
      </c>
    </row>
    <row r="73" spans="1:3" x14ac:dyDescent="0.35">
      <c r="A73" s="5" t="s">
        <v>179</v>
      </c>
      <c r="B73" s="20">
        <v>-11142</v>
      </c>
      <c r="C73" s="13" t="s">
        <v>208</v>
      </c>
    </row>
    <row r="74" spans="1:3" x14ac:dyDescent="0.35">
      <c r="A74" s="5" t="s">
        <v>180</v>
      </c>
      <c r="B74" s="22">
        <f>B75-B72-B73</f>
        <v>-6535</v>
      </c>
      <c r="C74" s="13" t="s">
        <v>87</v>
      </c>
    </row>
    <row r="75" spans="1:3" x14ac:dyDescent="0.35">
      <c r="A75" s="18" t="s">
        <v>181</v>
      </c>
      <c r="B75" s="19">
        <v>-20127</v>
      </c>
      <c r="C75" s="13" t="s">
        <v>182</v>
      </c>
    </row>
    <row r="76" spans="1:3" x14ac:dyDescent="0.35">
      <c r="A76" s="5" t="s">
        <v>183</v>
      </c>
      <c r="B76" s="20"/>
      <c r="C76" s="13" t="s">
        <v>89</v>
      </c>
    </row>
    <row r="77" spans="1:3" x14ac:dyDescent="0.35">
      <c r="A77" s="18" t="s">
        <v>185</v>
      </c>
      <c r="B77" s="21">
        <f>B68+B71+B75+B76</f>
        <v>6830</v>
      </c>
      <c r="C77" s="13" t="s">
        <v>87</v>
      </c>
    </row>
    <row r="78" spans="1:3" x14ac:dyDescent="0.35">
      <c r="A78" s="16" t="s">
        <v>117</v>
      </c>
      <c r="B78" s="17"/>
      <c r="C78" s="17"/>
    </row>
    <row r="79" spans="1:3" x14ac:dyDescent="0.35">
      <c r="A79" s="18" t="s">
        <v>186</v>
      </c>
      <c r="B79" s="21">
        <f>B68+B69</f>
        <v>26914</v>
      </c>
      <c r="C79" s="13" t="s">
        <v>87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9"/>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56" customWidth="1"/>
    <col min="2" max="2" width="16" customWidth="1"/>
    <col min="3" max="3" width="70" customWidth="1"/>
  </cols>
  <sheetData>
    <row r="1" spans="1:3" ht="18" x14ac:dyDescent="0.4">
      <c r="A1" s="7" t="s">
        <v>226</v>
      </c>
    </row>
    <row r="2" spans="1:3" x14ac:dyDescent="0.35">
      <c r="A2" s="13" t="s">
        <v>227</v>
      </c>
    </row>
    <row r="4" spans="1:3" x14ac:dyDescent="0.35">
      <c r="A4" s="14" t="s">
        <v>81</v>
      </c>
      <c r="B4" s="15" t="s">
        <v>27</v>
      </c>
      <c r="C4" s="14" t="s">
        <v>82</v>
      </c>
    </row>
    <row r="5" spans="1:3" x14ac:dyDescent="0.35">
      <c r="A5" s="16" t="s">
        <v>83</v>
      </c>
      <c r="B5" s="17"/>
      <c r="C5" s="17"/>
    </row>
    <row r="6" spans="1:3" x14ac:dyDescent="0.35">
      <c r="A6" s="18" t="s">
        <v>64</v>
      </c>
      <c r="B6" s="19">
        <v>13278</v>
      </c>
      <c r="C6" s="13" t="s">
        <v>84</v>
      </c>
    </row>
    <row r="7" spans="1:3" x14ac:dyDescent="0.35">
      <c r="A7" s="5" t="s">
        <v>85</v>
      </c>
      <c r="B7" s="20">
        <v>2983</v>
      </c>
      <c r="C7" s="13" t="s">
        <v>205</v>
      </c>
    </row>
    <row r="8" spans="1:3" x14ac:dyDescent="0.35">
      <c r="A8" s="18" t="s">
        <v>65</v>
      </c>
      <c r="B8" s="19">
        <v>10295</v>
      </c>
      <c r="C8" s="13" t="s">
        <v>189</v>
      </c>
    </row>
    <row r="9" spans="1:3" x14ac:dyDescent="0.35">
      <c r="A9" s="5" t="s">
        <v>88</v>
      </c>
      <c r="B9" s="20">
        <v>2960</v>
      </c>
      <c r="C9" s="13" t="s">
        <v>190</v>
      </c>
    </row>
    <row r="10" spans="1:3" x14ac:dyDescent="0.35">
      <c r="A10" s="5" t="s">
        <v>90</v>
      </c>
      <c r="B10" s="22">
        <f>B11+B12</f>
        <v>5511</v>
      </c>
      <c r="C10" s="13" t="s">
        <v>87</v>
      </c>
    </row>
    <row r="11" spans="1:3" x14ac:dyDescent="0.35">
      <c r="A11" s="23" t="s">
        <v>91</v>
      </c>
      <c r="B11" s="20">
        <v>4388</v>
      </c>
      <c r="C11" s="13" t="s">
        <v>191</v>
      </c>
    </row>
    <row r="12" spans="1:3" x14ac:dyDescent="0.35">
      <c r="A12" s="23" t="s">
        <v>93</v>
      </c>
      <c r="B12" s="20">
        <v>1123</v>
      </c>
      <c r="C12" s="13" t="s">
        <v>94</v>
      </c>
    </row>
    <row r="13" spans="1:3" x14ac:dyDescent="0.35">
      <c r="A13" s="5" t="s">
        <v>95</v>
      </c>
      <c r="B13" s="22">
        <f>B6-B7-B9-B10-B15</f>
        <v>0</v>
      </c>
      <c r="C13" s="13" t="s">
        <v>87</v>
      </c>
    </row>
    <row r="14" spans="1:3" x14ac:dyDescent="0.35">
      <c r="A14" s="5" t="s">
        <v>96</v>
      </c>
      <c r="B14" s="22">
        <f>B6-B15</f>
        <v>11454</v>
      </c>
      <c r="C14" s="13" t="s">
        <v>87</v>
      </c>
    </row>
    <row r="15" spans="1:3" x14ac:dyDescent="0.35">
      <c r="A15" s="18" t="s">
        <v>66</v>
      </c>
      <c r="B15" s="19">
        <v>1824</v>
      </c>
      <c r="C15" s="13" t="s">
        <v>97</v>
      </c>
    </row>
    <row r="16" spans="1:3" x14ac:dyDescent="0.35">
      <c r="A16" s="5" t="s">
        <v>98</v>
      </c>
      <c r="B16" s="22">
        <f>B19-B15</f>
        <v>437</v>
      </c>
      <c r="C16" s="13" t="s">
        <v>87</v>
      </c>
    </row>
    <row r="17" spans="1:3" x14ac:dyDescent="0.35">
      <c r="A17" s="23" t="s">
        <v>99</v>
      </c>
      <c r="B17" s="20"/>
      <c r="C17" s="13" t="s">
        <v>89</v>
      </c>
    </row>
    <row r="18" spans="1:3" x14ac:dyDescent="0.35">
      <c r="A18" s="23" t="s">
        <v>101</v>
      </c>
      <c r="B18" s="20"/>
      <c r="C18" s="13" t="s">
        <v>89</v>
      </c>
    </row>
    <row r="19" spans="1:3" x14ac:dyDescent="0.35">
      <c r="A19" s="18" t="s">
        <v>103</v>
      </c>
      <c r="B19" s="19">
        <v>2261</v>
      </c>
      <c r="C19" s="13" t="s">
        <v>193</v>
      </c>
    </row>
    <row r="20" spans="1:3" x14ac:dyDescent="0.35">
      <c r="A20" s="5" t="s">
        <v>105</v>
      </c>
      <c r="B20" s="20">
        <v>513</v>
      </c>
      <c r="C20" s="13" t="s">
        <v>106</v>
      </c>
    </row>
    <row r="21" spans="1:3" x14ac:dyDescent="0.35">
      <c r="A21" s="5" t="s">
        <v>107</v>
      </c>
      <c r="B21" s="22">
        <f>B22-B19+B20</f>
        <v>0</v>
      </c>
      <c r="C21" s="13" t="s">
        <v>87</v>
      </c>
    </row>
    <row r="22" spans="1:3" x14ac:dyDescent="0.35">
      <c r="A22" s="18" t="s">
        <v>68</v>
      </c>
      <c r="B22" s="19">
        <v>1748</v>
      </c>
      <c r="C22" s="13" t="s">
        <v>108</v>
      </c>
    </row>
    <row r="23" spans="1:3" x14ac:dyDescent="0.35">
      <c r="A23" s="5" t="s">
        <v>109</v>
      </c>
      <c r="B23" s="24">
        <v>1.69</v>
      </c>
      <c r="C23" s="13" t="s">
        <v>110</v>
      </c>
    </row>
    <row r="24" spans="1:3" x14ac:dyDescent="0.35">
      <c r="A24" s="5" t="s">
        <v>111</v>
      </c>
      <c r="B24" s="24">
        <v>1.67</v>
      </c>
      <c r="C24" s="13" t="s">
        <v>112</v>
      </c>
    </row>
    <row r="25" spans="1:3" x14ac:dyDescent="0.35">
      <c r="A25" s="5" t="s">
        <v>113</v>
      </c>
      <c r="B25" s="20">
        <v>1036.74</v>
      </c>
      <c r="C25" s="13" t="s">
        <v>114</v>
      </c>
    </row>
    <row r="26" spans="1:3" x14ac:dyDescent="0.35">
      <c r="A26" s="5" t="s">
        <v>115</v>
      </c>
      <c r="B26" s="20">
        <v>1046.691</v>
      </c>
      <c r="C26" s="13" t="s">
        <v>116</v>
      </c>
    </row>
    <row r="27" spans="1:3" x14ac:dyDescent="0.35">
      <c r="A27" s="16" t="s">
        <v>117</v>
      </c>
      <c r="B27" s="17"/>
      <c r="C27" s="17"/>
    </row>
    <row r="28" spans="1:3" x14ac:dyDescent="0.35">
      <c r="A28" s="5" t="s">
        <v>118</v>
      </c>
      <c r="B28" s="20">
        <v>738</v>
      </c>
      <c r="C28" s="13" t="s">
        <v>119</v>
      </c>
    </row>
    <row r="29" spans="1:3" x14ac:dyDescent="0.35">
      <c r="A29" s="5" t="s">
        <v>120</v>
      </c>
      <c r="B29" s="20">
        <v>120</v>
      </c>
      <c r="C29" s="13" t="s">
        <v>121</v>
      </c>
    </row>
    <row r="30" spans="1:3" x14ac:dyDescent="0.35">
      <c r="A30" s="5" t="s">
        <v>122</v>
      </c>
      <c r="B30" s="20">
        <v>1955</v>
      </c>
      <c r="C30" s="13" t="s">
        <v>123</v>
      </c>
    </row>
    <row r="31" spans="1:3" x14ac:dyDescent="0.35">
      <c r="A31" s="18" t="s">
        <v>124</v>
      </c>
      <c r="B31" s="21">
        <f>B15+B28</f>
        <v>2562</v>
      </c>
      <c r="C31" s="13" t="s">
        <v>87</v>
      </c>
    </row>
    <row r="33" spans="1:3" x14ac:dyDescent="0.35">
      <c r="A33" s="16" t="s">
        <v>125</v>
      </c>
      <c r="B33" s="17"/>
      <c r="C33" s="17"/>
    </row>
    <row r="34" spans="1:3" x14ac:dyDescent="0.35">
      <c r="A34" s="5" t="s">
        <v>126</v>
      </c>
      <c r="B34" s="20">
        <v>3726</v>
      </c>
      <c r="C34" s="13" t="s">
        <v>127</v>
      </c>
    </row>
    <row r="35" spans="1:3" x14ac:dyDescent="0.35">
      <c r="A35" s="5" t="s">
        <v>128</v>
      </c>
      <c r="B35" s="20">
        <v>2558</v>
      </c>
      <c r="C35" s="13" t="s">
        <v>228</v>
      </c>
    </row>
    <row r="36" spans="1:3" x14ac:dyDescent="0.35">
      <c r="A36" s="5" t="s">
        <v>130</v>
      </c>
      <c r="B36" s="20">
        <v>2627</v>
      </c>
      <c r="C36" s="13" t="s">
        <v>131</v>
      </c>
    </row>
    <row r="37" spans="1:3" x14ac:dyDescent="0.35">
      <c r="A37" s="5" t="s">
        <v>132</v>
      </c>
      <c r="B37" s="20"/>
      <c r="C37" s="13" t="s">
        <v>89</v>
      </c>
    </row>
    <row r="38" spans="1:3" x14ac:dyDescent="0.35">
      <c r="A38" s="5" t="s">
        <v>134</v>
      </c>
      <c r="B38" s="22">
        <f>B39-B34-B35-B36-B37</f>
        <v>1560</v>
      </c>
      <c r="C38" s="13" t="s">
        <v>87</v>
      </c>
    </row>
    <row r="39" spans="1:3" x14ac:dyDescent="0.35">
      <c r="A39" s="18" t="s">
        <v>135</v>
      </c>
      <c r="B39" s="19">
        <v>10471</v>
      </c>
      <c r="C39" s="13" t="s">
        <v>136</v>
      </c>
    </row>
    <row r="40" spans="1:3" x14ac:dyDescent="0.35">
      <c r="A40" s="5" t="s">
        <v>137</v>
      </c>
      <c r="B40" s="20">
        <v>2289</v>
      </c>
      <c r="C40" s="13" t="s">
        <v>138</v>
      </c>
    </row>
    <row r="41" spans="1:3" x14ac:dyDescent="0.35">
      <c r="A41" s="5" t="s">
        <v>139</v>
      </c>
      <c r="B41" s="20">
        <v>806</v>
      </c>
      <c r="C41" s="13" t="s">
        <v>140</v>
      </c>
    </row>
    <row r="42" spans="1:3" x14ac:dyDescent="0.35">
      <c r="A42" s="5" t="s">
        <v>141</v>
      </c>
      <c r="B42" s="20">
        <v>3578</v>
      </c>
      <c r="C42" s="13" t="s">
        <v>141</v>
      </c>
    </row>
    <row r="43" spans="1:3" x14ac:dyDescent="0.35">
      <c r="A43" s="5" t="s">
        <v>142</v>
      </c>
      <c r="B43" s="20">
        <v>1121</v>
      </c>
      <c r="C43" s="13" t="s">
        <v>143</v>
      </c>
    </row>
    <row r="44" spans="1:3" x14ac:dyDescent="0.35">
      <c r="A44" s="5" t="s">
        <v>144</v>
      </c>
      <c r="B44" s="22">
        <f>B45-B39-B40-B41-B42-B43</f>
        <v>7773</v>
      </c>
      <c r="C44" s="13" t="s">
        <v>87</v>
      </c>
    </row>
    <row r="45" spans="1:3" x14ac:dyDescent="0.35">
      <c r="A45" s="18" t="s">
        <v>75</v>
      </c>
      <c r="B45" s="19">
        <v>26038</v>
      </c>
      <c r="C45" s="13" t="s">
        <v>145</v>
      </c>
    </row>
    <row r="46" spans="1:3" x14ac:dyDescent="0.35">
      <c r="A46" s="5" t="s">
        <v>146</v>
      </c>
      <c r="B46" s="20">
        <v>204</v>
      </c>
      <c r="C46" s="13" t="s">
        <v>147</v>
      </c>
    </row>
    <row r="47" spans="1:3" x14ac:dyDescent="0.35">
      <c r="A47" s="5" t="s">
        <v>148</v>
      </c>
      <c r="B47" s="20">
        <v>8314</v>
      </c>
      <c r="C47" s="13" t="s">
        <v>149</v>
      </c>
    </row>
    <row r="48" spans="1:3" x14ac:dyDescent="0.35">
      <c r="A48" s="5" t="s">
        <v>150</v>
      </c>
      <c r="B48" s="20"/>
      <c r="C48" s="13" t="s">
        <v>89</v>
      </c>
    </row>
    <row r="49" spans="1:3" x14ac:dyDescent="0.35">
      <c r="A49" s="5" t="s">
        <v>152</v>
      </c>
      <c r="B49" s="22">
        <f>B50-B46-B47-B48</f>
        <v>1925</v>
      </c>
      <c r="C49" s="13" t="s">
        <v>87</v>
      </c>
    </row>
    <row r="50" spans="1:3" x14ac:dyDescent="0.35">
      <c r="A50" s="18" t="s">
        <v>153</v>
      </c>
      <c r="B50" s="19">
        <v>10443</v>
      </c>
      <c r="C50" s="13" t="s">
        <v>154</v>
      </c>
    </row>
    <row r="51" spans="1:3" x14ac:dyDescent="0.35">
      <c r="A51" s="5" t="s">
        <v>155</v>
      </c>
      <c r="B51" s="20">
        <v>1491</v>
      </c>
      <c r="C51" s="13" t="s">
        <v>229</v>
      </c>
    </row>
    <row r="52" spans="1:3" x14ac:dyDescent="0.35">
      <c r="A52" s="5" t="s">
        <v>157</v>
      </c>
      <c r="B52" s="22">
        <f>B53-B50-B51</f>
        <v>1140</v>
      </c>
      <c r="C52" s="13" t="s">
        <v>87</v>
      </c>
    </row>
    <row r="53" spans="1:3" x14ac:dyDescent="0.35">
      <c r="A53" s="18" t="s">
        <v>158</v>
      </c>
      <c r="B53" s="19">
        <v>13074</v>
      </c>
      <c r="C53" s="13" t="s">
        <v>198</v>
      </c>
    </row>
    <row r="54" spans="1:3" x14ac:dyDescent="0.35">
      <c r="A54" s="18" t="s">
        <v>159</v>
      </c>
      <c r="B54" s="19">
        <v>12964</v>
      </c>
      <c r="C54" s="13" t="s">
        <v>160</v>
      </c>
    </row>
    <row r="55" spans="1:3" x14ac:dyDescent="0.35">
      <c r="A55" s="18" t="s">
        <v>161</v>
      </c>
      <c r="B55" s="19">
        <v>26038</v>
      </c>
      <c r="C55" s="13" t="s">
        <v>162</v>
      </c>
    </row>
    <row r="56" spans="1:3" x14ac:dyDescent="0.35">
      <c r="A56" s="5" t="s">
        <v>163</v>
      </c>
      <c r="B56" s="22">
        <f>B45-B55</f>
        <v>0</v>
      </c>
      <c r="C56" s="13" t="s">
        <v>87</v>
      </c>
    </row>
    <row r="57" spans="1:3" x14ac:dyDescent="0.35">
      <c r="A57" s="16" t="s">
        <v>117</v>
      </c>
      <c r="B57" s="17"/>
      <c r="C57" s="17"/>
    </row>
    <row r="58" spans="1:3" x14ac:dyDescent="0.35">
      <c r="A58" s="5" t="s">
        <v>164</v>
      </c>
      <c r="B58" s="22">
        <f>B48+B51</f>
        <v>1491</v>
      </c>
      <c r="C58" s="13" t="s">
        <v>87</v>
      </c>
    </row>
    <row r="59" spans="1:3" x14ac:dyDescent="0.35">
      <c r="A59" s="5" t="s">
        <v>165</v>
      </c>
      <c r="B59" s="22">
        <f>B34+B35</f>
        <v>6284</v>
      </c>
      <c r="C59" s="13" t="s">
        <v>87</v>
      </c>
    </row>
    <row r="60" spans="1:3" x14ac:dyDescent="0.35">
      <c r="A60" s="5" t="s">
        <v>166</v>
      </c>
      <c r="B60" s="22">
        <f>B58-B59</f>
        <v>-4793</v>
      </c>
      <c r="C60" s="13" t="s">
        <v>87</v>
      </c>
    </row>
    <row r="61" spans="1:3" x14ac:dyDescent="0.35">
      <c r="A61" s="5" t="s">
        <v>167</v>
      </c>
      <c r="B61" s="20">
        <v>1047.278</v>
      </c>
      <c r="C61" s="13" t="s">
        <v>168</v>
      </c>
    </row>
    <row r="63" spans="1:3" x14ac:dyDescent="0.35">
      <c r="A63" s="16" t="s">
        <v>169</v>
      </c>
      <c r="B63" s="17"/>
      <c r="C63" s="17"/>
    </row>
    <row r="64" spans="1:3" x14ac:dyDescent="0.35">
      <c r="A64" s="5" t="s">
        <v>68</v>
      </c>
      <c r="B64" s="22">
        <f>B22</f>
        <v>1748</v>
      </c>
      <c r="C64" s="13" t="s">
        <v>87</v>
      </c>
    </row>
    <row r="65" spans="1:3" x14ac:dyDescent="0.35">
      <c r="A65" s="5" t="s">
        <v>118</v>
      </c>
      <c r="B65" s="22">
        <f>B28</f>
        <v>738</v>
      </c>
      <c r="C65" s="13" t="s">
        <v>87</v>
      </c>
    </row>
    <row r="66" spans="1:3" x14ac:dyDescent="0.35">
      <c r="A66" s="5" t="s">
        <v>122</v>
      </c>
      <c r="B66" s="22">
        <f>B30</f>
        <v>1955</v>
      </c>
      <c r="C66" s="13" t="s">
        <v>87</v>
      </c>
    </row>
    <row r="67" spans="1:3" x14ac:dyDescent="0.35">
      <c r="A67" s="5" t="s">
        <v>170</v>
      </c>
      <c r="B67" s="22">
        <f>B68-B64-B65-B66</f>
        <v>1003</v>
      </c>
      <c r="C67" s="13" t="s">
        <v>87</v>
      </c>
    </row>
    <row r="68" spans="1:3" x14ac:dyDescent="0.35">
      <c r="A68" s="18" t="s">
        <v>171</v>
      </c>
      <c r="B68" s="19">
        <v>5444</v>
      </c>
      <c r="C68" s="13" t="s">
        <v>172</v>
      </c>
    </row>
    <row r="69" spans="1:3" x14ac:dyDescent="0.35">
      <c r="A69" s="5" t="s">
        <v>173</v>
      </c>
      <c r="B69" s="20">
        <v>-868</v>
      </c>
      <c r="C69" s="13" t="s">
        <v>199</v>
      </c>
    </row>
    <row r="70" spans="1:3" x14ac:dyDescent="0.35">
      <c r="A70" s="5" t="s">
        <v>175</v>
      </c>
      <c r="B70" s="22">
        <f>B71-B69</f>
        <v>-821</v>
      </c>
      <c r="C70" s="13" t="s">
        <v>87</v>
      </c>
    </row>
    <row r="71" spans="1:3" x14ac:dyDescent="0.35">
      <c r="A71" s="18" t="s">
        <v>176</v>
      </c>
      <c r="B71" s="19">
        <v>-1689</v>
      </c>
      <c r="C71" s="13" t="s">
        <v>177</v>
      </c>
    </row>
    <row r="72" spans="1:3" x14ac:dyDescent="0.35">
      <c r="A72" s="5" t="s">
        <v>178</v>
      </c>
      <c r="B72" s="20">
        <v>-1840</v>
      </c>
      <c r="C72" s="13" t="s">
        <v>200</v>
      </c>
    </row>
    <row r="73" spans="1:3" x14ac:dyDescent="0.35">
      <c r="A73" s="5" t="s">
        <v>179</v>
      </c>
      <c r="B73" s="20"/>
      <c r="C73" s="13" t="s">
        <v>89</v>
      </c>
    </row>
    <row r="74" spans="1:3" x14ac:dyDescent="0.35">
      <c r="A74" s="5" t="s">
        <v>180</v>
      </c>
      <c r="B74" s="22">
        <f>B75-B72-B73</f>
        <v>-500</v>
      </c>
      <c r="C74" s="13" t="s">
        <v>87</v>
      </c>
    </row>
    <row r="75" spans="1:3" x14ac:dyDescent="0.35">
      <c r="A75" s="18" t="s">
        <v>181</v>
      </c>
      <c r="B75" s="19">
        <v>-2340</v>
      </c>
      <c r="C75" s="13" t="s">
        <v>182</v>
      </c>
    </row>
    <row r="76" spans="1:3" x14ac:dyDescent="0.35">
      <c r="A76" s="5" t="s">
        <v>183</v>
      </c>
      <c r="B76" s="20">
        <v>7</v>
      </c>
      <c r="C76" s="13" t="s">
        <v>214</v>
      </c>
    </row>
    <row r="77" spans="1:3" x14ac:dyDescent="0.35">
      <c r="A77" s="18" t="s">
        <v>185</v>
      </c>
      <c r="B77" s="21">
        <f>B68+B71+B75+B76</f>
        <v>1422</v>
      </c>
      <c r="C77" s="13" t="s">
        <v>87</v>
      </c>
    </row>
    <row r="78" spans="1:3" x14ac:dyDescent="0.35">
      <c r="A78" s="16" t="s">
        <v>117</v>
      </c>
      <c r="B78" s="17"/>
      <c r="C78" s="17"/>
    </row>
    <row r="79" spans="1:3" x14ac:dyDescent="0.35">
      <c r="A79" s="18" t="s">
        <v>186</v>
      </c>
      <c r="B79" s="21">
        <f>B68+B69</f>
        <v>4576</v>
      </c>
      <c r="C79" s="13"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Summary</vt:lpstr>
      <vt:lpstr>AMZN</vt:lpstr>
      <vt:lpstr>MSFT</vt:lpstr>
      <vt:lpstr>NVDA</vt:lpstr>
      <vt:lpstr>GOOGL</vt:lpstr>
      <vt:lpstr>META</vt:lpstr>
      <vt:lpstr>AAPL</vt:lpstr>
      <vt:lpstr>AVGO</vt:lpstr>
      <vt:lpstr>NOW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ramirez</cp:lastModifiedBy>
  <dcterms:created xsi:type="dcterms:W3CDTF">2026-10-13T23:52:28Z</dcterms:created>
  <dcterms:modified xsi:type="dcterms:W3CDTF">2026-10-13T23:52:37Z</dcterms:modified>
</cp:coreProperties>
</file>