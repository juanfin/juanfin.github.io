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Projects\personal-web-portfolio\Finance\1. Comparable Company Analysis\"/>
    </mc:Choice>
  </mc:AlternateContent>
  <xr:revisionPtr revIDLastSave="0" documentId="13_ncr:1_{BFDB8EF2-3D8E-4274-B3CA-5F790769D4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tios" sheetId="1" r:id="rId1"/>
    <sheet name="Inputs" sheetId="2" r:id="rId2"/>
    <sheet name="No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G8" i="2"/>
  <c r="G5" i="2"/>
  <c r="G17" i="1"/>
  <c r="H12" i="1"/>
  <c r="G12" i="1"/>
  <c r="F12" i="1"/>
  <c r="E12" i="1"/>
  <c r="D12" i="1"/>
  <c r="C12" i="1"/>
  <c r="B12" i="1"/>
  <c r="A12" i="1"/>
  <c r="H11" i="1"/>
  <c r="G11" i="1"/>
  <c r="F11" i="1"/>
  <c r="E11" i="1"/>
  <c r="D11" i="1"/>
  <c r="C11" i="1"/>
  <c r="B11" i="1"/>
  <c r="A11" i="1"/>
  <c r="H10" i="1"/>
  <c r="G10" i="1"/>
  <c r="F10" i="1"/>
  <c r="E10" i="1"/>
  <c r="D10" i="1"/>
  <c r="C10" i="1"/>
  <c r="B10" i="1"/>
  <c r="A10" i="1"/>
  <c r="H9" i="1"/>
  <c r="G9" i="1"/>
  <c r="F9" i="1"/>
  <c r="E9" i="1"/>
  <c r="D9" i="1"/>
  <c r="C9" i="1"/>
  <c r="B9" i="1"/>
  <c r="A9" i="1"/>
  <c r="H8" i="1"/>
  <c r="G8" i="1"/>
  <c r="F8" i="1"/>
  <c r="E8" i="1"/>
  <c r="D8" i="1"/>
  <c r="C8" i="1"/>
  <c r="B8" i="1"/>
  <c r="A8" i="1"/>
  <c r="H7" i="1"/>
  <c r="G7" i="1"/>
  <c r="F7" i="1"/>
  <c r="E7" i="1"/>
  <c r="D7" i="1"/>
  <c r="C7" i="1"/>
  <c r="B7" i="1"/>
  <c r="A7" i="1"/>
  <c r="H6" i="1"/>
  <c r="H19" i="1" s="1"/>
  <c r="G6" i="1"/>
  <c r="G20" i="1" s="1"/>
  <c r="F6" i="1"/>
  <c r="F20" i="1" s="1"/>
  <c r="E6" i="1"/>
  <c r="E20" i="1" s="1"/>
  <c r="D6" i="1"/>
  <c r="C6" i="1"/>
  <c r="B6" i="1"/>
  <c r="A6" i="1"/>
  <c r="H5" i="1"/>
  <c r="G5" i="1"/>
  <c r="F5" i="1"/>
  <c r="E5" i="1"/>
  <c r="D5" i="1"/>
  <c r="C5" i="1"/>
  <c r="B5" i="1"/>
  <c r="A5" i="1"/>
  <c r="G24" i="1" l="1"/>
  <c r="G15" i="1"/>
  <c r="H16" i="1"/>
  <c r="H25" i="1" s="1"/>
  <c r="H18" i="1"/>
  <c r="H20" i="1"/>
  <c r="E15" i="1"/>
  <c r="E17" i="1"/>
  <c r="E24" i="1" s="1"/>
  <c r="E19" i="1"/>
  <c r="E23" i="1"/>
  <c r="F15" i="1"/>
  <c r="F17" i="1"/>
  <c r="F24" i="1" s="1"/>
  <c r="F19" i="1"/>
  <c r="F23" i="1"/>
  <c r="G19" i="1"/>
  <c r="G23" i="1"/>
  <c r="H15" i="1"/>
  <c r="H17" i="1"/>
  <c r="H24" i="1" s="1"/>
  <c r="H23" i="1"/>
  <c r="E16" i="1"/>
  <c r="E25" i="1" s="1"/>
  <c r="E18" i="1"/>
  <c r="F16" i="1"/>
  <c r="F25" i="1" s="1"/>
  <c r="F18" i="1"/>
  <c r="G16" i="1"/>
  <c r="G25" i="1" s="1"/>
  <c r="G18" i="1"/>
</calcChain>
</file>

<file path=xl/sharedStrings.xml><?xml version="1.0" encoding="utf-8"?>
<sst xmlns="http://schemas.openxmlformats.org/spreadsheetml/2006/main" count="75" uniqueCount="64">
  <si>
    <t>Profitability ratios: Amazon against US technology comparables</t>
  </si>
  <si>
    <t>Fiscal year 2025. All ratios are formulas on the Inputs sheet.</t>
  </si>
  <si>
    <t>Company</t>
  </si>
  <si>
    <t>Ticker</t>
  </si>
  <si>
    <t>Role</t>
  </si>
  <si>
    <t>Fiscal year end</t>
  </si>
  <si>
    <t>Gross margin</t>
  </si>
  <si>
    <t>Operating margin</t>
  </si>
  <si>
    <t>ROA</t>
  </si>
  <si>
    <t>ROE</t>
  </si>
  <si>
    <t>Comparable set (7 companies, Amazon excluded)</t>
  </si>
  <si>
    <t>Minimum</t>
  </si>
  <si>
    <t>Lower quartile</t>
  </si>
  <si>
    <t>Median</t>
  </si>
  <si>
    <t>Upper quartile</t>
  </si>
  <si>
    <t>Maximum</t>
  </si>
  <si>
    <t>Average</t>
  </si>
  <si>
    <t>Amazon against the comparable set</t>
  </si>
  <si>
    <t>Amazon</t>
  </si>
  <si>
    <t>Difference from the median (percentage points)</t>
  </si>
  <si>
    <t>Position against the interquartile range</t>
  </si>
  <si>
    <t>Inputs: fiscal year 2025, USD millions</t>
  </si>
  <si>
    <t>Blue figures are reported values from each company's Form 10-K. Gross profit is a formula where the company does not report it.</t>
  </si>
  <si>
    <t>Revenue</t>
  </si>
  <si>
    <t>Cost of revenue</t>
  </si>
  <si>
    <t>Gross profit</t>
  </si>
  <si>
    <t>Operating income</t>
  </si>
  <si>
    <t>Net income</t>
  </si>
  <si>
    <t>Total assets</t>
  </si>
  <si>
    <t>Total equity</t>
  </si>
  <si>
    <t>AMZN</t>
  </si>
  <si>
    <t>Tested party</t>
  </si>
  <si>
    <t>Microsoft</t>
  </si>
  <si>
    <t>MSFT</t>
  </si>
  <si>
    <t>Comparable</t>
  </si>
  <si>
    <t>Nvidia</t>
  </si>
  <si>
    <t>NVDA</t>
  </si>
  <si>
    <t>Alphabet</t>
  </si>
  <si>
    <t>GOOGL</t>
  </si>
  <si>
    <t>Meta Platforms</t>
  </si>
  <si>
    <t>META</t>
  </si>
  <si>
    <t>Apple</t>
  </si>
  <si>
    <t>AAPL</t>
  </si>
  <si>
    <t>Broadcom</t>
  </si>
  <si>
    <t>AVGO</t>
  </si>
  <si>
    <t>ServiceNow</t>
  </si>
  <si>
    <t>NOW</t>
  </si>
  <si>
    <t>Notes</t>
  </si>
  <si>
    <t>Definitions</t>
  </si>
  <si>
    <t>Gross margin = gross profit / revenue.</t>
  </si>
  <si>
    <t>Operating margin = operating income / revenue.</t>
  </si>
  <si>
    <t>ROA (return on assets) = net income / total assets at fiscal year end.</t>
  </si>
  <si>
    <t>ROE (return on equity) = net income / total stockholders' equity at fiscal year end.</t>
  </si>
  <si>
    <t>Points to keep in mind</t>
  </si>
  <si>
    <t>ROA and ROE use year-end balances, not the average of opening and closing balances, because the analysis uses 2025 figures only.</t>
  </si>
  <si>
    <t>Fiscal years differ. Each company's own fiscal year 2025 is used; the dates are shown next to each company.</t>
  </si>
  <si>
    <t>Nvidia: the year ended 25 January 2026 is used because it covers 11 months of calendar 2025.</t>
  </si>
  <si>
    <t>Amazon does not report gross profit. It is calculated here as revenue less cost of sales.</t>
  </si>
  <si>
    <t>Apple has small equity relative to earnings because of share buybacks, which makes its ROE very high.</t>
  </si>
  <si>
    <t>The interquartile range runs from the lower quartile to the upper quartile of the comparable set (Excel QUARTILE function).</t>
  </si>
  <si>
    <t>Source</t>
  </si>
  <si>
    <t>U.S. SEC EDGAR XBRL company facts (data.sec.gov), from each company's Form 10-K for fiscal year 2025.</t>
  </si>
  <si>
    <t>The full statements and the link to each filing are in 'Tech Comps - Financial Statements FY2025.xlsx' in this folder.</t>
  </si>
  <si>
    <t>Retrieved on 2026-10-13.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</si>
</sst>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dd\-mmm\-yyyy"/>
    <numFmt numFmtId="166" formatCode="#,##0;\(#,##0\);&quot;-&quot;"/>
    <numFmt numFmtId="167" formatCode="0.0%"/>
    <numFmt numFmtId="168" formatCode="0.0;\(0.0\)"/>
  </numFmts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EF3C7"/>
      </patternFill>
    </fill>
    <fill>
      <patternFill patternType="solid">
        <fgColor rgb="FFE5E7EB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right" vertical="center" wrapText="1"/>
    </xf>
    <xf numFmtId="0" fontId="6" fillId="3" borderId="0" xfId="0" applyFont="1" applyFill="1" applyAlignment="1">
      <alignment horizontal="left" vertical="center" wrapText="1"/>
    </xf>
    <xf numFmtId="165" fontId="6" fillId="3" borderId="0" xfId="0" applyNumberFormat="1" applyFont="1" applyFill="1" applyAlignment="1">
      <alignment horizontal="left" vertical="center" wrapText="1"/>
    </xf>
    <xf numFmtId="167" fontId="6" fillId="3" borderId="0" xfId="0" applyNumberFormat="1" applyFont="1" applyFill="1" applyAlignment="1">
      <alignment horizontal="right" vertical="center" wrapText="1"/>
    </xf>
    <xf numFmtId="0" fontId="4" fillId="0" borderId="0" xfId="0" applyFont="1" applyAlignment="1">
      <alignment horizontal="left" vertical="center" wrapText="1"/>
    </xf>
    <xf numFmtId="165" fontId="4" fillId="0" borderId="0" xfId="0" applyNumberFormat="1" applyFont="1" applyAlignment="1">
      <alignment horizontal="left" vertical="center" wrapText="1"/>
    </xf>
    <xf numFmtId="167" fontId="4" fillId="0" borderId="0" xfId="0" applyNumberFormat="1" applyFont="1" applyAlignment="1">
      <alignment horizontal="right" vertical="center" wrapText="1"/>
    </xf>
    <xf numFmtId="0" fontId="6" fillId="4" borderId="0" xfId="0" applyFont="1" applyFill="1"/>
    <xf numFmtId="0" fontId="0" fillId="4" borderId="0" xfId="0" applyFill="1"/>
    <xf numFmtId="0" fontId="4" fillId="0" borderId="0" xfId="0" applyFont="1"/>
    <xf numFmtId="168" fontId="4" fillId="0" borderId="0" xfId="0" applyNumberFormat="1" applyFont="1" applyAlignment="1">
      <alignment horizontal="right" vertical="center" wrapText="1"/>
    </xf>
    <xf numFmtId="0" fontId="6" fillId="0" borderId="1" xfId="0" applyFont="1" applyBorder="1"/>
    <xf numFmtId="0" fontId="0" fillId="0" borderId="1" xfId="0" applyBorder="1"/>
    <xf numFmtId="0" fontId="6" fillId="0" borderId="1" xfId="0" applyFont="1" applyBorder="1" applyAlignment="1">
      <alignment horizontal="right" vertical="center" wrapText="1"/>
    </xf>
    <xf numFmtId="0" fontId="4" fillId="3" borderId="0" xfId="0" applyFont="1" applyFill="1" applyAlignment="1">
      <alignment horizontal="left" vertical="center" wrapText="1"/>
    </xf>
    <xf numFmtId="165" fontId="4" fillId="3" borderId="0" xfId="0" applyNumberFormat="1" applyFont="1" applyFill="1" applyAlignment="1">
      <alignment horizontal="left" vertical="center" wrapText="1"/>
    </xf>
    <xf numFmtId="166" fontId="5" fillId="3" borderId="0" xfId="0" applyNumberFormat="1" applyFont="1" applyFill="1" applyAlignment="1">
      <alignment horizontal="right" vertical="center" wrapText="1"/>
    </xf>
    <xf numFmtId="166" fontId="4" fillId="3" borderId="0" xfId="0" applyNumberFormat="1" applyFont="1" applyFill="1" applyAlignment="1">
      <alignment horizontal="right" vertical="center" wrapText="1"/>
    </xf>
    <xf numFmtId="166" fontId="5" fillId="0" borderId="0" xfId="0" applyNumberFormat="1" applyFont="1" applyAlignment="1">
      <alignment horizontal="right" vertical="center" wrapText="1"/>
    </xf>
    <xf numFmtId="166" fontId="4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showGridLines="0" tabSelected="1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46" customWidth="1"/>
    <col min="2" max="2" width="9" customWidth="1"/>
    <col min="3" max="3" width="14" customWidth="1"/>
    <col min="4" max="4" width="16" customWidth="1"/>
    <col min="5" max="8" width="15" customWidth="1"/>
  </cols>
  <sheetData>
    <row r="1" spans="1:8" ht="18" x14ac:dyDescent="0.4">
      <c r="A1" s="1" t="s">
        <v>0</v>
      </c>
    </row>
    <row r="2" spans="1:8" x14ac:dyDescent="0.35">
      <c r="A2" s="2" t="s">
        <v>1</v>
      </c>
    </row>
    <row r="4" spans="1:8" ht="30" customHeight="1" x14ac:dyDescent="0.35">
      <c r="A4" s="3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x14ac:dyDescent="0.35">
      <c r="A5" s="5" t="str">
        <f>Inputs!A5</f>
        <v>Amazon</v>
      </c>
      <c r="B5" s="5" t="str">
        <f>Inputs!B5</f>
        <v>AMZN</v>
      </c>
      <c r="C5" s="5" t="str">
        <f>Inputs!C5</f>
        <v>Tested party</v>
      </c>
      <c r="D5" s="6">
        <f>Inputs!D5</f>
        <v>46022</v>
      </c>
      <c r="E5" s="7">
        <f>IF(ISNUMBER(Inputs!G5),Inputs!G5/Inputs!E5,"n/a")</f>
        <v>0.50285664868242663</v>
      </c>
      <c r="F5" s="7">
        <f>Inputs!H5/Inputs!E5</f>
        <v>0.11155296795755199</v>
      </c>
      <c r="G5" s="7">
        <f>Inputs!I5/Inputs!J5</f>
        <v>9.494622525493801E-2</v>
      </c>
      <c r="H5" s="7">
        <f>Inputs!I5/Inputs!K5</f>
        <v>0.18894821986790411</v>
      </c>
    </row>
    <row r="6" spans="1:8" x14ac:dyDescent="0.35">
      <c r="A6" s="8" t="str">
        <f>Inputs!A6</f>
        <v>Microsoft</v>
      </c>
      <c r="B6" s="8" t="str">
        <f>Inputs!B6</f>
        <v>MSFT</v>
      </c>
      <c r="C6" s="8" t="str">
        <f>Inputs!C6</f>
        <v>Comparable</v>
      </c>
      <c r="D6" s="9">
        <f>Inputs!D6</f>
        <v>45838</v>
      </c>
      <c r="E6" s="10">
        <f>IF(ISNUMBER(Inputs!G6),Inputs!G6/Inputs!E6,"n/a")</f>
        <v>0.68823742386165188</v>
      </c>
      <c r="F6" s="10">
        <f>Inputs!H6/Inputs!E6</f>
        <v>0.45621956240859851</v>
      </c>
      <c r="G6" s="10">
        <f>Inputs!I6/Inputs!J6</f>
        <v>0.16450970350709124</v>
      </c>
      <c r="H6" s="10">
        <f>Inputs!I6/Inputs!K6</f>
        <v>0.29647227341409521</v>
      </c>
    </row>
    <row r="7" spans="1:8" x14ac:dyDescent="0.35">
      <c r="A7" s="8" t="str">
        <f>Inputs!A7</f>
        <v>Nvidia</v>
      </c>
      <c r="B7" s="8" t="str">
        <f>Inputs!B7</f>
        <v>NVDA</v>
      </c>
      <c r="C7" s="8" t="str">
        <f>Inputs!C7</f>
        <v>Comparable</v>
      </c>
      <c r="D7" s="9">
        <f>Inputs!D7</f>
        <v>46047</v>
      </c>
      <c r="E7" s="10">
        <f>IF(ISNUMBER(Inputs!G7),Inputs!G7/Inputs!E7,"n/a")</f>
        <v>0.71068084357547079</v>
      </c>
      <c r="F7" s="10">
        <f>Inputs!H7/Inputs!E7</f>
        <v>0.60381683631412719</v>
      </c>
      <c r="G7" s="10">
        <f>Inputs!I7/Inputs!J7</f>
        <v>0.5805863551302447</v>
      </c>
      <c r="H7" s="10">
        <f>Inputs!I7/Inputs!K7</f>
        <v>0.76333339690895341</v>
      </c>
    </row>
    <row r="8" spans="1:8" x14ac:dyDescent="0.35">
      <c r="A8" s="8" t="str">
        <f>Inputs!A8</f>
        <v>Alphabet</v>
      </c>
      <c r="B8" s="8" t="str">
        <f>Inputs!B8</f>
        <v>GOOGL</v>
      </c>
      <c r="C8" s="8" t="str">
        <f>Inputs!C8</f>
        <v>Comparable</v>
      </c>
      <c r="D8" s="9">
        <f>Inputs!D8</f>
        <v>46022</v>
      </c>
      <c r="E8" s="10">
        <f>IF(ISNUMBER(Inputs!G8),Inputs!G8/Inputs!E8,"n/a")</f>
        <v>0.59652315086039975</v>
      </c>
      <c r="F8" s="10">
        <f>Inputs!H8/Inputs!E8</f>
        <v>0.32032638592380025</v>
      </c>
      <c r="G8" s="10">
        <f>Inputs!I8/Inputs!J8</f>
        <v>0.22202959610671263</v>
      </c>
      <c r="H8" s="10">
        <f>Inputs!I8/Inputs!K8</f>
        <v>0.31827868951151672</v>
      </c>
    </row>
    <row r="9" spans="1:8" x14ac:dyDescent="0.35">
      <c r="A9" s="8" t="str">
        <f>Inputs!A9</f>
        <v>Meta Platforms</v>
      </c>
      <c r="B9" s="8" t="str">
        <f>Inputs!B9</f>
        <v>META</v>
      </c>
      <c r="C9" s="8" t="str">
        <f>Inputs!C9</f>
        <v>Comparable</v>
      </c>
      <c r="D9" s="9">
        <f>Inputs!D9</f>
        <v>46022</v>
      </c>
      <c r="E9" s="10">
        <f>IF(ISNUMBER(Inputs!G9),Inputs!G9/Inputs!E9,"n/a")</f>
        <v>0.81999442691798607</v>
      </c>
      <c r="F9" s="10">
        <f>Inputs!H9/Inputs!E9</f>
        <v>0.41437855159579234</v>
      </c>
      <c r="G9" s="10">
        <f>Inputs!I9/Inputs!J9</f>
        <v>0.16517631502017643</v>
      </c>
      <c r="H9" s="10">
        <f>Inputs!I9/Inputs!K9</f>
        <v>0.27829665397734332</v>
      </c>
    </row>
    <row r="10" spans="1:8" x14ac:dyDescent="0.35">
      <c r="A10" s="8" t="str">
        <f>Inputs!A10</f>
        <v>Apple</v>
      </c>
      <c r="B10" s="8" t="str">
        <f>Inputs!B10</f>
        <v>AAPL</v>
      </c>
      <c r="C10" s="8" t="str">
        <f>Inputs!C10</f>
        <v>Comparable</v>
      </c>
      <c r="D10" s="9">
        <f>Inputs!D10</f>
        <v>45927</v>
      </c>
      <c r="E10" s="10">
        <f>IF(ISNUMBER(Inputs!G10),Inputs!G10/Inputs!E10,"n/a")</f>
        <v>0.46905164107160452</v>
      </c>
      <c r="F10" s="10">
        <f>Inputs!H10/Inputs!E10</f>
        <v>0.31970799762591884</v>
      </c>
      <c r="G10" s="10">
        <f>Inputs!I10/Inputs!J10</f>
        <v>0.31179625933565491</v>
      </c>
      <c r="H10" s="10">
        <f>Inputs!I10/Inputs!K10</f>
        <v>1.5191298333175105</v>
      </c>
    </row>
    <row r="11" spans="1:8" x14ac:dyDescent="0.35">
      <c r="A11" s="8" t="str">
        <f>Inputs!A11</f>
        <v>Broadcom</v>
      </c>
      <c r="B11" s="8" t="str">
        <f>Inputs!B11</f>
        <v>AVGO</v>
      </c>
      <c r="C11" s="8" t="str">
        <f>Inputs!C11</f>
        <v>Comparable</v>
      </c>
      <c r="D11" s="9">
        <f>Inputs!D11</f>
        <v>45963</v>
      </c>
      <c r="E11" s="10">
        <f>IF(ISNUMBER(Inputs!G11),Inputs!G11/Inputs!E11,"n/a")</f>
        <v>0.67766525271181932</v>
      </c>
      <c r="F11" s="10">
        <f>Inputs!H11/Inputs!E11</f>
        <v>0.39889179332258518</v>
      </c>
      <c r="G11" s="10">
        <f>Inputs!I11/Inputs!J11</f>
        <v>0.13516704463095877</v>
      </c>
      <c r="H11" s="10">
        <f>Inputs!I11/Inputs!K11</f>
        <v>0.2844806377011268</v>
      </c>
    </row>
    <row r="12" spans="1:8" x14ac:dyDescent="0.35">
      <c r="A12" s="8" t="str">
        <f>Inputs!A12</f>
        <v>ServiceNow</v>
      </c>
      <c r="B12" s="8" t="str">
        <f>Inputs!B12</f>
        <v>NOW</v>
      </c>
      <c r="C12" s="8" t="str">
        <f>Inputs!C12</f>
        <v>Comparable</v>
      </c>
      <c r="D12" s="9">
        <f>Inputs!D12</f>
        <v>46022</v>
      </c>
      <c r="E12" s="10">
        <f>IF(ISNUMBER(Inputs!G12),Inputs!G12/Inputs!E12,"n/a")</f>
        <v>0.77534267208917007</v>
      </c>
      <c r="F12" s="10">
        <f>Inputs!H12/Inputs!E12</f>
        <v>0.13737008585630367</v>
      </c>
      <c r="G12" s="10">
        <f>Inputs!I12/Inputs!J12</f>
        <v>6.7132652277440669E-2</v>
      </c>
      <c r="H12" s="10">
        <f>Inputs!I12/Inputs!K12</f>
        <v>0.13483492749151496</v>
      </c>
    </row>
    <row r="14" spans="1:8" x14ac:dyDescent="0.35">
      <c r="A14" s="11" t="s">
        <v>10</v>
      </c>
      <c r="B14" s="12"/>
      <c r="C14" s="12"/>
      <c r="D14" s="12"/>
      <c r="E14" s="12"/>
      <c r="F14" s="12"/>
      <c r="G14" s="12"/>
      <c r="H14" s="12"/>
    </row>
    <row r="15" spans="1:8" x14ac:dyDescent="0.35">
      <c r="A15" s="13" t="s">
        <v>11</v>
      </c>
      <c r="E15" s="10">
        <f>MIN(E6:E12)</f>
        <v>0.46905164107160452</v>
      </c>
      <c r="F15" s="10">
        <f>MIN(F6:F12)</f>
        <v>0.13737008585630367</v>
      </c>
      <c r="G15" s="10">
        <f>MIN(G6:G12)</f>
        <v>6.7132652277440669E-2</v>
      </c>
      <c r="H15" s="10">
        <f>MIN(H6:H12)</f>
        <v>0.13483492749151496</v>
      </c>
    </row>
    <row r="16" spans="1:8" x14ac:dyDescent="0.35">
      <c r="A16" s="13" t="s">
        <v>12</v>
      </c>
      <c r="E16" s="10">
        <f>QUARTILE(E6:E12,1)</f>
        <v>0.63709420178610954</v>
      </c>
      <c r="F16" s="10">
        <f>QUARTILE(F6:F12,1)</f>
        <v>0.32001719177485954</v>
      </c>
      <c r="G16" s="10">
        <f>QUARTILE(G6:G12,1)</f>
        <v>0.149838374069025</v>
      </c>
      <c r="H16" s="10">
        <f>QUARTILE(H6:H12,1)</f>
        <v>0.28138864583923506</v>
      </c>
    </row>
    <row r="17" spans="1:8" x14ac:dyDescent="0.35">
      <c r="A17" s="13" t="s">
        <v>13</v>
      </c>
      <c r="E17" s="10">
        <f>MEDIAN(E6:E12)</f>
        <v>0.68823742386165188</v>
      </c>
      <c r="F17" s="10">
        <f>MEDIAN(F6:F12)</f>
        <v>0.39889179332258518</v>
      </c>
      <c r="G17" s="10">
        <f>MEDIAN(G6:G12)</f>
        <v>0.16517631502017643</v>
      </c>
      <c r="H17" s="10">
        <f>MEDIAN(H6:H12)</f>
        <v>0.29647227341409521</v>
      </c>
    </row>
    <row r="18" spans="1:8" x14ac:dyDescent="0.35">
      <c r="A18" s="13" t="s">
        <v>14</v>
      </c>
      <c r="E18" s="10">
        <f>QUARTILE(E6:E12,3)</f>
        <v>0.74301175783232043</v>
      </c>
      <c r="F18" s="10">
        <f>QUARTILE(F6:F12,3)</f>
        <v>0.4352990570021954</v>
      </c>
      <c r="G18" s="10">
        <f>QUARTILE(G6:G12,3)</f>
        <v>0.2669129277211838</v>
      </c>
      <c r="H18" s="10">
        <f>QUARTILE(H6:H12,3)</f>
        <v>0.54080604321023507</v>
      </c>
    </row>
    <row r="19" spans="1:8" x14ac:dyDescent="0.35">
      <c r="A19" s="13" t="s">
        <v>15</v>
      </c>
      <c r="E19" s="10">
        <f>MAX(E6:E12)</f>
        <v>0.81999442691798607</v>
      </c>
      <c r="F19" s="10">
        <f>MAX(F6:F12)</f>
        <v>0.60381683631412719</v>
      </c>
      <c r="G19" s="10">
        <f>MAX(G6:G12)</f>
        <v>0.5805863551302447</v>
      </c>
      <c r="H19" s="10">
        <f>MAX(H6:H12)</f>
        <v>1.5191298333175105</v>
      </c>
    </row>
    <row r="20" spans="1:8" x14ac:dyDescent="0.35">
      <c r="A20" s="13" t="s">
        <v>16</v>
      </c>
      <c r="E20" s="10">
        <f>AVERAGE(E6:E12)</f>
        <v>0.67678505872687178</v>
      </c>
      <c r="F20" s="10">
        <f>AVERAGE(F6:F12)</f>
        <v>0.3786730304353037</v>
      </c>
      <c r="G20" s="10">
        <f>AVERAGE(G6:G12)</f>
        <v>0.23519970371546847</v>
      </c>
      <c r="H20" s="10">
        <f>AVERAGE(H6:H12)</f>
        <v>0.51354663033172299</v>
      </c>
    </row>
    <row r="22" spans="1:8" x14ac:dyDescent="0.35">
      <c r="A22" s="11" t="s">
        <v>17</v>
      </c>
      <c r="B22" s="12"/>
      <c r="C22" s="12"/>
      <c r="D22" s="12"/>
      <c r="E22" s="12"/>
      <c r="F22" s="12"/>
      <c r="G22" s="12"/>
      <c r="H22" s="12"/>
    </row>
    <row r="23" spans="1:8" x14ac:dyDescent="0.35">
      <c r="A23" s="13" t="s">
        <v>18</v>
      </c>
      <c r="E23" s="10">
        <f>E5</f>
        <v>0.50285664868242663</v>
      </c>
      <c r="F23" s="10">
        <f>F5</f>
        <v>0.11155296795755199</v>
      </c>
      <c r="G23" s="10">
        <f>G5</f>
        <v>9.494622525493801E-2</v>
      </c>
      <c r="H23" s="10">
        <f>H5</f>
        <v>0.18894821986790411</v>
      </c>
    </row>
    <row r="24" spans="1:8" x14ac:dyDescent="0.35">
      <c r="A24" s="13" t="s">
        <v>19</v>
      </c>
      <c r="E24" s="14">
        <f>(E5-E17)*100</f>
        <v>-18.538077517922524</v>
      </c>
      <c r="F24" s="14">
        <f>(F5-F17)*100</f>
        <v>-28.733882536503319</v>
      </c>
      <c r="G24" s="14">
        <f>(G5-G17)*100</f>
        <v>-7.0230089765238422</v>
      </c>
      <c r="H24" s="14">
        <f>(H5-H17)*100</f>
        <v>-10.752405354619111</v>
      </c>
    </row>
    <row r="25" spans="1:8" x14ac:dyDescent="0.35">
      <c r="A25" s="15" t="s">
        <v>20</v>
      </c>
      <c r="B25" s="16"/>
      <c r="C25" s="16"/>
      <c r="D25" s="16"/>
      <c r="E25" s="17" t="str">
        <f>IF(E5&lt;E16,"Below",IF(E5&gt;E18,"Above","Within"))</f>
        <v>Below</v>
      </c>
      <c r="F25" s="17" t="str">
        <f>IF(F5&lt;F16,"Below",IF(F5&gt;F18,"Above","Within"))</f>
        <v>Below</v>
      </c>
      <c r="G25" s="17" t="str">
        <f>IF(G5&lt;G16,"Below",IF(G5&gt;G18,"Above","Within"))</f>
        <v>Below</v>
      </c>
      <c r="H25" s="17" t="str">
        <f>IF(H5&lt;H16,"Below",IF(H5&gt;H18,"Above","Within"))</f>
        <v>Below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8" customWidth="1"/>
    <col min="2" max="2" width="9" customWidth="1"/>
    <col min="3" max="3" width="14" customWidth="1"/>
    <col min="4" max="4" width="16" customWidth="1"/>
    <col min="5" max="11" width="14" customWidth="1"/>
  </cols>
  <sheetData>
    <row r="1" spans="1:11" ht="18" x14ac:dyDescent="0.4">
      <c r="A1" s="1" t="s">
        <v>21</v>
      </c>
    </row>
    <row r="2" spans="1:11" x14ac:dyDescent="0.35">
      <c r="A2" s="2" t="s">
        <v>22</v>
      </c>
    </row>
    <row r="4" spans="1:11" ht="30" customHeight="1" x14ac:dyDescent="0.35">
      <c r="A4" s="3" t="s">
        <v>2</v>
      </c>
      <c r="B4" s="3" t="s">
        <v>3</v>
      </c>
      <c r="C4" s="3" t="s">
        <v>4</v>
      </c>
      <c r="D4" s="3" t="s">
        <v>5</v>
      </c>
      <c r="E4" s="4" t="s">
        <v>23</v>
      </c>
      <c r="F4" s="4" t="s">
        <v>24</v>
      </c>
      <c r="G4" s="4" t="s">
        <v>25</v>
      </c>
      <c r="H4" s="4" t="s">
        <v>26</v>
      </c>
      <c r="I4" s="4" t="s">
        <v>27</v>
      </c>
      <c r="J4" s="4" t="s">
        <v>28</v>
      </c>
      <c r="K4" s="4" t="s">
        <v>29</v>
      </c>
    </row>
    <row r="5" spans="1:11" x14ac:dyDescent="0.35">
      <c r="A5" s="18" t="s">
        <v>18</v>
      </c>
      <c r="B5" s="18" t="s">
        <v>30</v>
      </c>
      <c r="C5" s="18" t="s">
        <v>31</v>
      </c>
      <c r="D5" s="19">
        <v>46022</v>
      </c>
      <c r="E5" s="20">
        <v>716924</v>
      </c>
      <c r="F5" s="20">
        <v>356414</v>
      </c>
      <c r="G5" s="21">
        <f>E5-F5</f>
        <v>360510</v>
      </c>
      <c r="H5" s="20">
        <v>79975</v>
      </c>
      <c r="I5" s="20">
        <v>77670</v>
      </c>
      <c r="J5" s="20">
        <v>818042</v>
      </c>
      <c r="K5" s="20">
        <v>411065</v>
      </c>
    </row>
    <row r="6" spans="1:11" x14ac:dyDescent="0.35">
      <c r="A6" s="8" t="s">
        <v>32</v>
      </c>
      <c r="B6" s="8" t="s">
        <v>33</v>
      </c>
      <c r="C6" s="8" t="s">
        <v>34</v>
      </c>
      <c r="D6" s="9">
        <v>45838</v>
      </c>
      <c r="E6" s="22">
        <v>281724</v>
      </c>
      <c r="F6" s="22">
        <v>87831</v>
      </c>
      <c r="G6" s="22">
        <v>193893</v>
      </c>
      <c r="H6" s="22">
        <v>128528</v>
      </c>
      <c r="I6" s="22">
        <v>101832</v>
      </c>
      <c r="J6" s="22">
        <v>619003</v>
      </c>
      <c r="K6" s="22">
        <v>343479</v>
      </c>
    </row>
    <row r="7" spans="1:11" x14ac:dyDescent="0.35">
      <c r="A7" s="8" t="s">
        <v>35</v>
      </c>
      <c r="B7" s="8" t="s">
        <v>36</v>
      </c>
      <c r="C7" s="8" t="s">
        <v>34</v>
      </c>
      <c r="D7" s="9">
        <v>46047</v>
      </c>
      <c r="E7" s="22">
        <v>215938</v>
      </c>
      <c r="F7" s="22">
        <v>62475</v>
      </c>
      <c r="G7" s="22">
        <v>153463</v>
      </c>
      <c r="H7" s="22">
        <v>130387</v>
      </c>
      <c r="I7" s="22">
        <v>120067</v>
      </c>
      <c r="J7" s="22">
        <v>206803</v>
      </c>
      <c r="K7" s="22">
        <v>157293</v>
      </c>
    </row>
    <row r="8" spans="1:11" x14ac:dyDescent="0.35">
      <c r="A8" s="8" t="s">
        <v>37</v>
      </c>
      <c r="B8" s="8" t="s">
        <v>38</v>
      </c>
      <c r="C8" s="8" t="s">
        <v>34</v>
      </c>
      <c r="D8" s="9">
        <v>46022</v>
      </c>
      <c r="E8" s="22">
        <v>402836</v>
      </c>
      <c r="F8" s="22">
        <v>162535</v>
      </c>
      <c r="G8" s="23">
        <f>E8-F8</f>
        <v>240301</v>
      </c>
      <c r="H8" s="22">
        <v>129039</v>
      </c>
      <c r="I8" s="22">
        <v>132170</v>
      </c>
      <c r="J8" s="22">
        <v>595281</v>
      </c>
      <c r="K8" s="22">
        <v>415265</v>
      </c>
    </row>
    <row r="9" spans="1:11" x14ac:dyDescent="0.35">
      <c r="A9" s="8" t="s">
        <v>39</v>
      </c>
      <c r="B9" s="8" t="s">
        <v>40</v>
      </c>
      <c r="C9" s="8" t="s">
        <v>34</v>
      </c>
      <c r="D9" s="9">
        <v>46022</v>
      </c>
      <c r="E9" s="22">
        <v>200966</v>
      </c>
      <c r="F9" s="22">
        <v>36175</v>
      </c>
      <c r="G9" s="23">
        <f>E9-F9</f>
        <v>164791</v>
      </c>
      <c r="H9" s="22">
        <v>83276</v>
      </c>
      <c r="I9" s="22">
        <v>60458</v>
      </c>
      <c r="J9" s="22">
        <v>366021</v>
      </c>
      <c r="K9" s="22">
        <v>217243</v>
      </c>
    </row>
    <row r="10" spans="1:11" x14ac:dyDescent="0.35">
      <c r="A10" s="8" t="s">
        <v>41</v>
      </c>
      <c r="B10" s="8" t="s">
        <v>42</v>
      </c>
      <c r="C10" s="8" t="s">
        <v>34</v>
      </c>
      <c r="D10" s="9">
        <v>45927</v>
      </c>
      <c r="E10" s="22">
        <v>416161</v>
      </c>
      <c r="F10" s="22">
        <v>220960</v>
      </c>
      <c r="G10" s="22">
        <v>195201</v>
      </c>
      <c r="H10" s="22">
        <v>133050</v>
      </c>
      <c r="I10" s="22">
        <v>112010</v>
      </c>
      <c r="J10" s="22">
        <v>359241</v>
      </c>
      <c r="K10" s="22">
        <v>73733</v>
      </c>
    </row>
    <row r="11" spans="1:11" x14ac:dyDescent="0.35">
      <c r="A11" s="8" t="s">
        <v>43</v>
      </c>
      <c r="B11" s="8" t="s">
        <v>44</v>
      </c>
      <c r="C11" s="8" t="s">
        <v>34</v>
      </c>
      <c r="D11" s="9">
        <v>45963</v>
      </c>
      <c r="E11" s="22">
        <v>63887</v>
      </c>
      <c r="F11" s="22">
        <v>20593</v>
      </c>
      <c r="G11" s="22">
        <v>43294</v>
      </c>
      <c r="H11" s="22">
        <v>25484</v>
      </c>
      <c r="I11" s="22">
        <v>23126</v>
      </c>
      <c r="J11" s="22">
        <v>171092</v>
      </c>
      <c r="K11" s="22">
        <v>81292</v>
      </c>
    </row>
    <row r="12" spans="1:11" x14ac:dyDescent="0.35">
      <c r="A12" s="8" t="s">
        <v>45</v>
      </c>
      <c r="B12" s="8" t="s">
        <v>46</v>
      </c>
      <c r="C12" s="8" t="s">
        <v>34</v>
      </c>
      <c r="D12" s="9">
        <v>46022</v>
      </c>
      <c r="E12" s="22">
        <v>13278</v>
      </c>
      <c r="F12" s="22">
        <v>2983</v>
      </c>
      <c r="G12" s="22">
        <v>10295</v>
      </c>
      <c r="H12" s="22">
        <v>1824</v>
      </c>
      <c r="I12" s="22">
        <v>1748</v>
      </c>
      <c r="J12" s="22">
        <v>26038</v>
      </c>
      <c r="K12" s="22">
        <v>12964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9"/>
  <sheetViews>
    <sheetView showGridLines="0" workbookViewId="0"/>
  </sheetViews>
  <sheetFormatPr defaultRowHeight="14.5" x14ac:dyDescent="0.35"/>
  <cols>
    <col min="1" max="1" width="120" customWidth="1"/>
  </cols>
  <sheetData>
    <row r="1" spans="1:1" ht="18" x14ac:dyDescent="0.35">
      <c r="A1" s="24" t="s">
        <v>47</v>
      </c>
    </row>
    <row r="2" spans="1:1" x14ac:dyDescent="0.35">
      <c r="A2" s="25" t="s">
        <v>48</v>
      </c>
    </row>
    <row r="3" spans="1:1" x14ac:dyDescent="0.35">
      <c r="A3" s="26" t="s">
        <v>49</v>
      </c>
    </row>
    <row r="4" spans="1:1" x14ac:dyDescent="0.35">
      <c r="A4" s="26" t="s">
        <v>50</v>
      </c>
    </row>
    <row r="5" spans="1:1" x14ac:dyDescent="0.35">
      <c r="A5" s="26" t="s">
        <v>51</v>
      </c>
    </row>
    <row r="6" spans="1:1" x14ac:dyDescent="0.35">
      <c r="A6" s="26" t="s">
        <v>52</v>
      </c>
    </row>
    <row r="7" spans="1:1" x14ac:dyDescent="0.35">
      <c r="A7" s="26"/>
    </row>
    <row r="8" spans="1:1" x14ac:dyDescent="0.35">
      <c r="A8" s="25" t="s">
        <v>53</v>
      </c>
    </row>
    <row r="9" spans="1:1" x14ac:dyDescent="0.35">
      <c r="A9" s="26" t="s">
        <v>54</v>
      </c>
    </row>
    <row r="10" spans="1:1" x14ac:dyDescent="0.35">
      <c r="A10" s="26" t="s">
        <v>55</v>
      </c>
    </row>
    <row r="11" spans="1:1" x14ac:dyDescent="0.35">
      <c r="A11" s="26" t="s">
        <v>56</v>
      </c>
    </row>
    <row r="12" spans="1:1" x14ac:dyDescent="0.35">
      <c r="A12" s="26" t="s">
        <v>57</v>
      </c>
    </row>
    <row r="13" spans="1:1" x14ac:dyDescent="0.35">
      <c r="A13" s="26" t="s">
        <v>58</v>
      </c>
    </row>
    <row r="14" spans="1:1" x14ac:dyDescent="0.35">
      <c r="A14" s="26" t="s">
        <v>59</v>
      </c>
    </row>
    <row r="15" spans="1:1" x14ac:dyDescent="0.35">
      <c r="A15" s="26"/>
    </row>
    <row r="16" spans="1:1" x14ac:dyDescent="0.35">
      <c r="A16" s="25" t="s">
        <v>60</v>
      </c>
    </row>
    <row r="17" spans="1:1" x14ac:dyDescent="0.35">
      <c r="A17" s="26" t="s">
        <v>61</v>
      </c>
    </row>
    <row r="18" spans="1:1" x14ac:dyDescent="0.35">
      <c r="A18" s="26" t="s">
        <v>62</v>
      </c>
    </row>
    <row r="19" spans="1:1" x14ac:dyDescent="0.35">
      <c r="A19" s="26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Ratios</vt:lpstr>
      <vt:lpstr>Inputs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ramirez</cp:lastModifiedBy>
  <dcterms:created xsi:type="dcterms:W3CDTF">2026-10-13T23:52:30Z</dcterms:created>
  <dcterms:modified xsi:type="dcterms:W3CDTF">2026-10-13T23:52:38Z</dcterms:modified>
</cp:coreProperties>
</file>