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Projects\personal-web-portfolio\Finance\2. EBITDA Multiples\"/>
    </mc:Choice>
  </mc:AlternateContent>
  <xr:revisionPtr revIDLastSave="0" documentId="13_ncr:1_{4537290A-8866-4B90-A5A7-EC6AD8DD2F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ltiples" sheetId="1" r:id="rId1"/>
    <sheet name="Inputs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  <c r="F29" i="1"/>
  <c r="E29" i="1"/>
  <c r="D29" i="1"/>
  <c r="G12" i="1"/>
  <c r="H12" i="1" s="1"/>
  <c r="E12" i="1"/>
  <c r="D12" i="1"/>
  <c r="C12" i="1"/>
  <c r="B12" i="1"/>
  <c r="A12" i="1"/>
  <c r="G11" i="1"/>
  <c r="H11" i="1" s="1"/>
  <c r="E11" i="1"/>
  <c r="D11" i="1"/>
  <c r="C11" i="1"/>
  <c r="B11" i="1"/>
  <c r="A11" i="1"/>
  <c r="G10" i="1"/>
  <c r="H10" i="1" s="1"/>
  <c r="E10" i="1"/>
  <c r="D10" i="1"/>
  <c r="C10" i="1"/>
  <c r="B10" i="1"/>
  <c r="A10" i="1"/>
  <c r="G9" i="1"/>
  <c r="H9" i="1" s="1"/>
  <c r="E9" i="1"/>
  <c r="F9" i="1" s="1"/>
  <c r="D9" i="1"/>
  <c r="C9" i="1"/>
  <c r="B9" i="1"/>
  <c r="A9" i="1"/>
  <c r="G8" i="1"/>
  <c r="H8" i="1" s="1"/>
  <c r="E8" i="1"/>
  <c r="D8" i="1"/>
  <c r="C8" i="1"/>
  <c r="B8" i="1"/>
  <c r="A8" i="1"/>
  <c r="G7" i="1"/>
  <c r="H7" i="1" s="1"/>
  <c r="E7" i="1"/>
  <c r="D7" i="1"/>
  <c r="C7" i="1"/>
  <c r="B7" i="1"/>
  <c r="A7" i="1"/>
  <c r="G6" i="1"/>
  <c r="H6" i="1" s="1"/>
  <c r="E6" i="1"/>
  <c r="D6" i="1"/>
  <c r="F6" i="1" s="1"/>
  <c r="C6" i="1"/>
  <c r="B6" i="1"/>
  <c r="A6" i="1"/>
  <c r="G5" i="1"/>
  <c r="F25" i="1" s="1"/>
  <c r="E5" i="1"/>
  <c r="E27" i="1" s="1"/>
  <c r="D5" i="1"/>
  <c r="C5" i="1"/>
  <c r="B5" i="1"/>
  <c r="A5" i="1"/>
  <c r="F7" i="1" l="1"/>
  <c r="F11" i="1"/>
  <c r="F10" i="1"/>
  <c r="J10" i="1" s="1"/>
  <c r="F8" i="1"/>
  <c r="F12" i="1"/>
  <c r="J7" i="1"/>
  <c r="I7" i="1"/>
  <c r="J6" i="1"/>
  <c r="I6" i="1"/>
  <c r="J11" i="1"/>
  <c r="I11" i="1"/>
  <c r="H19" i="1"/>
  <c r="H16" i="1"/>
  <c r="H18" i="1"/>
  <c r="H15" i="1"/>
  <c r="H20" i="1"/>
  <c r="H17" i="1"/>
  <c r="J9" i="1"/>
  <c r="I9" i="1"/>
  <c r="J8" i="1"/>
  <c r="I8" i="1"/>
  <c r="J12" i="1"/>
  <c r="I12" i="1"/>
  <c r="D25" i="1"/>
  <c r="F27" i="1"/>
  <c r="E25" i="1"/>
  <c r="H5" i="1"/>
  <c r="F5" i="1"/>
  <c r="D27" i="1"/>
  <c r="I10" i="1" l="1"/>
  <c r="J18" i="1"/>
  <c r="J16" i="1"/>
  <c r="J15" i="1"/>
  <c r="J20" i="1"/>
  <c r="J17" i="1"/>
  <c r="J19" i="1"/>
  <c r="I16" i="1"/>
  <c r="D24" i="1" s="1"/>
  <c r="D26" i="1" s="1"/>
  <c r="D28" i="1" s="1"/>
  <c r="D30" i="1" s="1"/>
  <c r="D32" i="1" s="1"/>
  <c r="I18" i="1"/>
  <c r="F24" i="1" s="1"/>
  <c r="F26" i="1" s="1"/>
  <c r="F28" i="1" s="1"/>
  <c r="F30" i="1" s="1"/>
  <c r="F32" i="1" s="1"/>
  <c r="I15" i="1"/>
  <c r="I20" i="1"/>
  <c r="I17" i="1"/>
  <c r="E24" i="1" s="1"/>
  <c r="E26" i="1" s="1"/>
  <c r="E28" i="1" s="1"/>
  <c r="E30" i="1" s="1"/>
  <c r="E32" i="1" s="1"/>
  <c r="I19" i="1"/>
  <c r="J5" i="1"/>
  <c r="I5" i="1"/>
</calcChain>
</file>

<file path=xl/sharedStrings.xml><?xml version="1.0" encoding="utf-8"?>
<sst xmlns="http://schemas.openxmlformats.org/spreadsheetml/2006/main" count="86" uniqueCount="73">
  <si>
    <t>EBITDA multiples: valuing Amazon from US technology comparables</t>
  </si>
  <si>
    <t>Share prices at 31 December 2025; financials for fiscal year 2025. USD millions unless stated.</t>
  </si>
  <si>
    <t>Company</t>
  </si>
  <si>
    <t>Ticker</t>
  </si>
  <si>
    <t>Role</t>
  </si>
  <si>
    <t>Market capitalization</t>
  </si>
  <si>
    <t>Net debt</t>
  </si>
  <si>
    <t>Enterprise value</t>
  </si>
  <si>
    <t>EBITDA</t>
  </si>
  <si>
    <t>EBITDA margin</t>
  </si>
  <si>
    <t>EV / EBITDA</t>
  </si>
  <si>
    <t>EV / Revenue</t>
  </si>
  <si>
    <t>Comparable set (7 companies, Amazon excluded)</t>
  </si>
  <si>
    <t>Minimum</t>
  </si>
  <si>
    <t>Lower quartile</t>
  </si>
  <si>
    <t>Median</t>
  </si>
  <si>
    <t>Upper quartile</t>
  </si>
  <si>
    <t>Maximum</t>
  </si>
  <si>
    <t>Average</t>
  </si>
  <si>
    <t>Implied valuation of Amazon from the comparables' EV / EBITDA</t>
  </si>
  <si>
    <t>EV / EBITDA multiple applied</t>
  </si>
  <si>
    <t>Amazon EBITDA</t>
  </si>
  <si>
    <t>Implied enterprise value</t>
  </si>
  <si>
    <t>Less: net debt</t>
  </si>
  <si>
    <t>Implied equity value</t>
  </si>
  <si>
    <t>Diluted shares (millions)</t>
  </si>
  <si>
    <t>Implied share price (USD)</t>
  </si>
  <si>
    <t>Actual share price, 31 Dec 2025 (USD)</t>
  </si>
  <si>
    <t>Implied price against actual price</t>
  </si>
  <si>
    <t>Inputs: fiscal year 2025 figures in USD millions, share prices in USD</t>
  </si>
  <si>
    <t>Blue figures are inputs: reported values from each Form 10-K, and closing share prices on 31 December 2025.</t>
  </si>
  <si>
    <t>Fiscal year end</t>
  </si>
  <si>
    <t>Share price, 31 Dec 2025</t>
  </si>
  <si>
    <t>Total debt</t>
  </si>
  <si>
    <t>Cash and short-term investments</t>
  </si>
  <si>
    <t>Revenue</t>
  </si>
  <si>
    <t>Operating income</t>
  </si>
  <si>
    <t>Depreciation and amortization</t>
  </si>
  <si>
    <t>Amazon</t>
  </si>
  <si>
    <t>AMZN</t>
  </si>
  <si>
    <t>Target</t>
  </si>
  <si>
    <t>Microsoft</t>
  </si>
  <si>
    <t>MSFT</t>
  </si>
  <si>
    <t>Comparable</t>
  </si>
  <si>
    <t>Nvidia</t>
  </si>
  <si>
    <t>NVDA</t>
  </si>
  <si>
    <t>Alphabet</t>
  </si>
  <si>
    <t>GOOGL</t>
  </si>
  <si>
    <t>Meta Platforms</t>
  </si>
  <si>
    <t>META</t>
  </si>
  <si>
    <t>Apple</t>
  </si>
  <si>
    <t>AAPL</t>
  </si>
  <si>
    <t>Broadcom</t>
  </si>
  <si>
    <t>AVGO</t>
  </si>
  <si>
    <t>ServiceNow</t>
  </si>
  <si>
    <t>NOW</t>
  </si>
  <si>
    <t>Notes</t>
  </si>
  <si>
    <t>Definitions</t>
  </si>
  <si>
    <t>Market capitalization = share price x diluted shares.</t>
  </si>
  <si>
    <t>Net debt = total debt - cash and short-term investments. Enterprise value (EV) = market capitalization + net debt.</t>
  </si>
  <si>
    <t>EBITDA = operating income + depreciation and amortization.</t>
  </si>
  <si>
    <t>Implied share price = (comparables' EV / EBITDA x Amazon EBITDA - Amazon net debt) / Amazon diluted shares.</t>
  </si>
  <si>
    <t>Points to keep in mind</t>
  </si>
  <si>
    <t>One valuation date, different fiscal years. Prices are closing prices on 31 December 2025. EBITDA is each company's own fiscal year 2025, so it is not a last-twelve-months figure for companies whose year ends before December.</t>
  </si>
  <si>
    <t>Diluted shares are the weighted average for the fiscal year from the Form 10-K, not the share count on the valuation date.</t>
  </si>
  <si>
    <t>Total debt excludes lease liabilities. Cash excludes long-term investments, which are large for Apple.</t>
  </si>
  <si>
    <t>Nvidia: marketable securities are not available under a standard tag in the source, so only cash is deducted and its enterprise value is slightly overstated.</t>
  </si>
  <si>
    <t>Alphabet: D&amp;A is depreciation of property and equipment only. Microsoft and Broadcom: D&amp;A is depreciation plus amortization of intangible assets from the notes.</t>
  </si>
  <si>
    <t>Amazon's business mix (retail, cloud, advertising) differs from the comparables, which are mostly software and semiconductor companies. The implied value is an illustration of the method, not a price target or investment advice.</t>
  </si>
  <si>
    <t>Sources</t>
  </si>
  <si>
    <t>Financials: U.S. SEC EDGAR XBRL company facts (data.sec.gov), from each company's Form 10-K for fiscal year 2025.</t>
  </si>
  <si>
    <t>Share prices: Yahoo Finance daily closing prices for 31 December 2025.</t>
  </si>
  <si>
    <t>Retrieved on 2026-10-13.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</si>
</sst>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\-mmm\-yyyy"/>
    <numFmt numFmtId="166" formatCode="#,##0;\(#,##0\);&quot;-&quot;"/>
    <numFmt numFmtId="167" formatCode="0.0%"/>
    <numFmt numFmtId="168" formatCode="0.0&quot;x&quot;"/>
    <numFmt numFmtId="169" formatCode="0.0%;\(0.0%\)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166" fontId="6" fillId="3" borderId="0" xfId="0" applyNumberFormat="1" applyFont="1" applyFill="1" applyAlignment="1">
      <alignment horizontal="right" vertical="center" wrapText="1"/>
    </xf>
    <xf numFmtId="167" fontId="6" fillId="3" borderId="0" xfId="0" applyNumberFormat="1" applyFont="1" applyFill="1" applyAlignment="1">
      <alignment horizontal="right" vertical="center" wrapText="1"/>
    </xf>
    <xf numFmtId="168" fontId="6" fillId="3" borderId="0" xfId="0" applyNumberFormat="1" applyFont="1" applyFill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right" vertical="center" wrapText="1"/>
    </xf>
    <xf numFmtId="167" fontId="4" fillId="0" borderId="0" xfId="0" applyNumberFormat="1" applyFont="1" applyAlignment="1">
      <alignment horizontal="right" vertical="center" wrapText="1"/>
    </xf>
    <xf numFmtId="168" fontId="4" fillId="0" borderId="0" xfId="0" applyNumberFormat="1" applyFont="1" applyAlignment="1">
      <alignment horizontal="right" vertical="center" wrapText="1"/>
    </xf>
    <xf numFmtId="0" fontId="6" fillId="4" borderId="0" xfId="0" applyFont="1" applyFill="1"/>
    <xf numFmtId="0" fontId="0" fillId="4" borderId="0" xfId="0" applyFill="1"/>
    <xf numFmtId="0" fontId="4" fillId="0" borderId="0" xfId="0" applyFont="1"/>
    <xf numFmtId="0" fontId="6" fillId="0" borderId="0" xfId="0" applyFont="1" applyAlignment="1">
      <alignment horizontal="right" vertical="center" wrapText="1"/>
    </xf>
    <xf numFmtId="0" fontId="6" fillId="0" borderId="0" xfId="0" applyFont="1"/>
    <xf numFmtId="166" fontId="6" fillId="0" borderId="1" xfId="0" applyNumberFormat="1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169" fontId="6" fillId="0" borderId="1" xfId="0" applyNumberFormat="1" applyFont="1" applyBorder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  <xf numFmtId="165" fontId="4" fillId="3" borderId="0" xfId="0" applyNumberFormat="1" applyFont="1" applyFill="1" applyAlignment="1">
      <alignment horizontal="left" vertical="center" wrapText="1"/>
    </xf>
    <xf numFmtId="4" fontId="5" fillId="3" borderId="0" xfId="0" applyNumberFormat="1" applyFont="1" applyFill="1" applyAlignment="1">
      <alignment horizontal="right" vertical="center" wrapText="1"/>
    </xf>
    <xf numFmtId="166" fontId="5" fillId="3" borderId="0" xfId="0" applyNumberFormat="1" applyFont="1" applyFill="1" applyAlignment="1">
      <alignment horizontal="right" vertical="center" wrapText="1"/>
    </xf>
    <xf numFmtId="165" fontId="4" fillId="0" borderId="0" xfId="0" applyNumberFormat="1" applyFont="1" applyAlignment="1">
      <alignment horizontal="left" vertical="center" wrapText="1"/>
    </xf>
    <xf numFmtId="4" fontId="5" fillId="0" borderId="0" xfId="0" applyNumberFormat="1" applyFont="1" applyAlignment="1">
      <alignment horizontal="right" vertical="center" wrapText="1"/>
    </xf>
    <xf numFmtId="166" fontId="5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4" customWidth="1"/>
    <col min="2" max="2" width="9" customWidth="1"/>
    <col min="3" max="3" width="13" customWidth="1"/>
    <col min="4" max="4" width="16" customWidth="1"/>
    <col min="5" max="5" width="14" customWidth="1"/>
    <col min="6" max="6" width="16" customWidth="1"/>
    <col min="7" max="10" width="12" customWidth="1"/>
  </cols>
  <sheetData>
    <row r="1" spans="1:10" ht="18" x14ac:dyDescent="0.4">
      <c r="A1" s="1" t="s">
        <v>0</v>
      </c>
    </row>
    <row r="2" spans="1:10" x14ac:dyDescent="0.35">
      <c r="A2" s="2" t="s">
        <v>1</v>
      </c>
    </row>
    <row r="4" spans="1:10" ht="30" customHeight="1" x14ac:dyDescent="0.35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35">
      <c r="A5" s="5" t="str">
        <f>Inputs!A5</f>
        <v>Amazon</v>
      </c>
      <c r="B5" s="5" t="str">
        <f>Inputs!B5</f>
        <v>AMZN</v>
      </c>
      <c r="C5" s="5" t="str">
        <f>Inputs!C5</f>
        <v>Target</v>
      </c>
      <c r="D5" s="6">
        <f>Inputs!E5*Inputs!F5</f>
        <v>2499088.2192993169</v>
      </c>
      <c r="E5" s="6">
        <f>Inputs!G5-Inputs!H5</f>
        <v>-54178</v>
      </c>
      <c r="F5" s="6">
        <f t="shared" ref="F5:F12" si="0">D5+E5</f>
        <v>2444910.2192993169</v>
      </c>
      <c r="G5" s="6">
        <f>Inputs!J5+Inputs!K5</f>
        <v>145731</v>
      </c>
      <c r="H5" s="7">
        <f>G5/Inputs!I5</f>
        <v>0.20327259235288539</v>
      </c>
      <c r="I5" s="8">
        <f t="shared" ref="I5:I12" si="1">F5/G5</f>
        <v>16.776871216826322</v>
      </c>
      <c r="J5" s="8">
        <f>F5/Inputs!I5</f>
        <v>3.4102781038147931</v>
      </c>
    </row>
    <row r="6" spans="1:10" x14ac:dyDescent="0.35">
      <c r="A6" s="9" t="str">
        <f>Inputs!A6</f>
        <v>Microsoft</v>
      </c>
      <c r="B6" s="9" t="str">
        <f>Inputs!B6</f>
        <v>MSFT</v>
      </c>
      <c r="C6" s="9" t="str">
        <f>Inputs!C6</f>
        <v>Comparable</v>
      </c>
      <c r="D6" s="10">
        <f>Inputs!E6*Inputs!F6</f>
        <v>3610223.2635498047</v>
      </c>
      <c r="E6" s="10">
        <f>Inputs!G6-Inputs!H6</f>
        <v>-51414</v>
      </c>
      <c r="F6" s="10">
        <f t="shared" si="0"/>
        <v>3558809.2635498047</v>
      </c>
      <c r="G6" s="10">
        <f>Inputs!J6+Inputs!K6</f>
        <v>156528</v>
      </c>
      <c r="H6" s="11">
        <f>G6/Inputs!I6</f>
        <v>0.5556076159645611</v>
      </c>
      <c r="I6" s="12">
        <f t="shared" si="1"/>
        <v>22.735927524467218</v>
      </c>
      <c r="J6" s="12">
        <f>F6/Inputs!I6</f>
        <v>12.632254488612276</v>
      </c>
    </row>
    <row r="7" spans="1:10" x14ac:dyDescent="0.35">
      <c r="A7" s="9" t="str">
        <f>Inputs!A7</f>
        <v>Nvidia</v>
      </c>
      <c r="B7" s="9" t="str">
        <f>Inputs!B7</f>
        <v>NVDA</v>
      </c>
      <c r="C7" s="9" t="str">
        <f>Inputs!C7</f>
        <v>Comparable</v>
      </c>
      <c r="D7" s="10">
        <f>Inputs!E7*Inputs!F7</f>
        <v>4571861</v>
      </c>
      <c r="E7" s="10">
        <f>Inputs!G7-Inputs!H7</f>
        <v>-2137</v>
      </c>
      <c r="F7" s="10">
        <f t="shared" si="0"/>
        <v>4569724</v>
      </c>
      <c r="G7" s="10">
        <f>Inputs!J7+Inputs!K7</f>
        <v>133230</v>
      </c>
      <c r="H7" s="11">
        <f>G7/Inputs!I7</f>
        <v>0.61698265242801176</v>
      </c>
      <c r="I7" s="12">
        <f t="shared" si="1"/>
        <v>34.299512121894466</v>
      </c>
      <c r="J7" s="12">
        <f>F7/Inputs!I7</f>
        <v>21.162203965953189</v>
      </c>
    </row>
    <row r="8" spans="1:10" x14ac:dyDescent="0.35">
      <c r="A8" s="9" t="str">
        <f>Inputs!A8</f>
        <v>Alphabet</v>
      </c>
      <c r="B8" s="9" t="str">
        <f>Inputs!B8</f>
        <v>GOOGL</v>
      </c>
      <c r="C8" s="9" t="str">
        <f>Inputs!C8</f>
        <v>Comparable</v>
      </c>
      <c r="D8" s="10">
        <f>Inputs!E8*Inputs!F8</f>
        <v>3827990</v>
      </c>
      <c r="E8" s="10">
        <f>Inputs!G8-Inputs!H8</f>
        <v>-78300</v>
      </c>
      <c r="F8" s="10">
        <f t="shared" si="0"/>
        <v>3749690</v>
      </c>
      <c r="G8" s="10">
        <f>Inputs!J8+Inputs!K8</f>
        <v>150175</v>
      </c>
      <c r="H8" s="11">
        <f>G8/Inputs!I8</f>
        <v>0.3727943877905649</v>
      </c>
      <c r="I8" s="12">
        <f t="shared" si="1"/>
        <v>24.968803063093059</v>
      </c>
      <c r="J8" s="12">
        <f>F8/Inputs!I8</f>
        <v>9.3082296517689578</v>
      </c>
    </row>
    <row r="9" spans="1:10" x14ac:dyDescent="0.35">
      <c r="A9" s="9" t="str">
        <f>Inputs!A9</f>
        <v>Meta Platforms</v>
      </c>
      <c r="B9" s="9" t="str">
        <f>Inputs!B9</f>
        <v>META</v>
      </c>
      <c r="C9" s="9" t="str">
        <f>Inputs!C9</f>
        <v>Comparable</v>
      </c>
      <c r="D9" s="10">
        <f>Inputs!E9*Inputs!F9</f>
        <v>1699071.7291259766</v>
      </c>
      <c r="E9" s="10">
        <f>Inputs!G9-Inputs!H9</f>
        <v>-22848</v>
      </c>
      <c r="F9" s="10">
        <f t="shared" si="0"/>
        <v>1676223.7291259766</v>
      </c>
      <c r="G9" s="10">
        <f>Inputs!J9+Inputs!K9</f>
        <v>101892</v>
      </c>
      <c r="H9" s="11">
        <f>G9/Inputs!I9</f>
        <v>0.50701113621209559</v>
      </c>
      <c r="I9" s="12">
        <f t="shared" si="1"/>
        <v>16.450984661464851</v>
      </c>
      <c r="J9" s="12">
        <f>F9/Inputs!I9</f>
        <v>8.3408324250170498</v>
      </c>
    </row>
    <row r="10" spans="1:10" x14ac:dyDescent="0.35">
      <c r="A10" s="9" t="str">
        <f>Inputs!A10</f>
        <v>Apple</v>
      </c>
      <c r="B10" s="9" t="str">
        <f>Inputs!B10</f>
        <v>AAPL</v>
      </c>
      <c r="C10" s="9" t="str">
        <f>Inputs!C10</f>
        <v>Comparable</v>
      </c>
      <c r="D10" s="10">
        <f>Inputs!E10*Inputs!F10</f>
        <v>4079176.7066246336</v>
      </c>
      <c r="E10" s="10">
        <f>Inputs!G10-Inputs!H10</f>
        <v>43960</v>
      </c>
      <c r="F10" s="10">
        <f t="shared" si="0"/>
        <v>4123136.7066246336</v>
      </c>
      <c r="G10" s="10">
        <f>Inputs!J10+Inputs!K10</f>
        <v>144748</v>
      </c>
      <c r="H10" s="11">
        <f>G10/Inputs!I10</f>
        <v>0.34781731108873731</v>
      </c>
      <c r="I10" s="12">
        <f t="shared" si="1"/>
        <v>28.48493040749878</v>
      </c>
      <c r="J10" s="12">
        <f>F10/Inputs!I10</f>
        <v>9.9075519008860358</v>
      </c>
    </row>
    <row r="11" spans="1:10" x14ac:dyDescent="0.35">
      <c r="A11" s="9" t="str">
        <f>Inputs!A11</f>
        <v>Broadcom</v>
      </c>
      <c r="B11" s="9" t="str">
        <f>Inputs!B11</f>
        <v>AVGO</v>
      </c>
      <c r="C11" s="9" t="str">
        <f>Inputs!C11</f>
        <v>Comparable</v>
      </c>
      <c r="D11" s="10">
        <f>Inputs!E11*Inputs!F11</f>
        <v>1679623.3296203613</v>
      </c>
      <c r="E11" s="10">
        <f>Inputs!G11-Inputs!H11</f>
        <v>48958</v>
      </c>
      <c r="F11" s="10">
        <f t="shared" si="0"/>
        <v>1728581.3296203613</v>
      </c>
      <c r="G11" s="10">
        <f>Inputs!J11+Inputs!K11</f>
        <v>34120</v>
      </c>
      <c r="H11" s="11">
        <f>G11/Inputs!I11</f>
        <v>0.53406796374849341</v>
      </c>
      <c r="I11" s="12">
        <f t="shared" si="1"/>
        <v>50.661820915016449</v>
      </c>
      <c r="J11" s="12">
        <f>F11/Inputs!I11</f>
        <v>27.056855535873673</v>
      </c>
    </row>
    <row r="12" spans="1:10" x14ac:dyDescent="0.35">
      <c r="A12" s="9" t="str">
        <f>Inputs!A12</f>
        <v>ServiceNow</v>
      </c>
      <c r="B12" s="9" t="str">
        <f>Inputs!B12</f>
        <v>NOW</v>
      </c>
      <c r="C12" s="9" t="str">
        <f>Inputs!C12</f>
        <v>Comparable</v>
      </c>
      <c r="D12" s="10">
        <f>Inputs!E12*Inputs!F12</f>
        <v>160342.5968453979</v>
      </c>
      <c r="E12" s="10">
        <f>Inputs!G12-Inputs!H12</f>
        <v>-4793</v>
      </c>
      <c r="F12" s="10">
        <f t="shared" si="0"/>
        <v>155549.5968453979</v>
      </c>
      <c r="G12" s="10">
        <f>Inputs!J12+Inputs!K12</f>
        <v>2562</v>
      </c>
      <c r="H12" s="11">
        <f>G12/Inputs!I12</f>
        <v>0.19295074559421599</v>
      </c>
      <c r="I12" s="12">
        <f t="shared" si="1"/>
        <v>60.714128354956244</v>
      </c>
      <c r="J12" s="12">
        <f>F12/Inputs!I12</f>
        <v>11.714836334191737</v>
      </c>
    </row>
    <row r="14" spans="1:10" x14ac:dyDescent="0.35">
      <c r="A14" s="13" t="s">
        <v>12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35">
      <c r="A15" s="15" t="s">
        <v>13</v>
      </c>
      <c r="H15" s="11">
        <f>MIN(H6:H12)</f>
        <v>0.19295074559421599</v>
      </c>
      <c r="I15" s="12">
        <f>MIN(I6:I12)</f>
        <v>16.450984661464851</v>
      </c>
      <c r="J15" s="12">
        <f>MIN(J6:J12)</f>
        <v>8.3408324250170498</v>
      </c>
    </row>
    <row r="16" spans="1:10" x14ac:dyDescent="0.35">
      <c r="A16" s="15" t="s">
        <v>14</v>
      </c>
      <c r="H16" s="11">
        <f>QUARTILE(H6:H12,1)</f>
        <v>0.3603058494396511</v>
      </c>
      <c r="I16" s="12">
        <f>QUARTILE(I6:I12,1)</f>
        <v>23.852365293780139</v>
      </c>
      <c r="J16" s="12">
        <f>QUARTILE(J6:J12,1)</f>
        <v>9.6078907763274977</v>
      </c>
    </row>
    <row r="17" spans="1:10" x14ac:dyDescent="0.35">
      <c r="A17" s="15" t="s">
        <v>15</v>
      </c>
      <c r="H17" s="11">
        <f>MEDIAN(H6:H12)</f>
        <v>0.50701113621209559</v>
      </c>
      <c r="I17" s="12">
        <f>MEDIAN(I6:I12)</f>
        <v>28.48493040749878</v>
      </c>
      <c r="J17" s="12">
        <f>MEDIAN(J6:J12)</f>
        <v>11.714836334191737</v>
      </c>
    </row>
    <row r="18" spans="1:10" x14ac:dyDescent="0.35">
      <c r="A18" s="15" t="s">
        <v>16</v>
      </c>
      <c r="H18" s="11">
        <f>QUARTILE(H6:H12,3)</f>
        <v>0.54483778985652731</v>
      </c>
      <c r="I18" s="12">
        <f>QUARTILE(I6:I12,3)</f>
        <v>42.480666518455457</v>
      </c>
      <c r="J18" s="12">
        <f>QUARTILE(J6:J12,3)</f>
        <v>16.897229227282732</v>
      </c>
    </row>
    <row r="19" spans="1:10" x14ac:dyDescent="0.35">
      <c r="A19" s="15" t="s">
        <v>17</v>
      </c>
      <c r="H19" s="11">
        <f>MAX(H6:H12)</f>
        <v>0.61698265242801176</v>
      </c>
      <c r="I19" s="12">
        <f>MAX(I6:I12)</f>
        <v>60.714128354956244</v>
      </c>
      <c r="J19" s="12">
        <f>MAX(J6:J12)</f>
        <v>27.056855535873673</v>
      </c>
    </row>
    <row r="20" spans="1:10" x14ac:dyDescent="0.35">
      <c r="A20" s="15" t="s">
        <v>18</v>
      </c>
      <c r="H20" s="11">
        <f>AVERAGE(H6:H12)</f>
        <v>0.44674740183238282</v>
      </c>
      <c r="I20" s="12">
        <f>AVERAGE(I6:I12)</f>
        <v>34.045158149770153</v>
      </c>
      <c r="J20" s="12">
        <f>AVERAGE(J6:J12)</f>
        <v>14.303252043186133</v>
      </c>
    </row>
    <row r="22" spans="1:10" x14ac:dyDescent="0.35">
      <c r="A22" s="13" t="s">
        <v>19</v>
      </c>
      <c r="B22" s="14"/>
      <c r="C22" s="14"/>
      <c r="D22" s="14"/>
      <c r="E22" s="14"/>
      <c r="F22" s="14"/>
      <c r="G22" s="14"/>
      <c r="H22" s="14"/>
      <c r="I22" s="14"/>
      <c r="J22" s="14"/>
    </row>
    <row r="23" spans="1:10" x14ac:dyDescent="0.35">
      <c r="D23" s="16" t="s">
        <v>14</v>
      </c>
      <c r="E23" s="16" t="s">
        <v>15</v>
      </c>
      <c r="F23" s="16" t="s">
        <v>16</v>
      </c>
    </row>
    <row r="24" spans="1:10" x14ac:dyDescent="0.35">
      <c r="A24" s="15" t="s">
        <v>20</v>
      </c>
      <c r="D24" s="12">
        <f>I16</f>
        <v>23.852365293780139</v>
      </c>
      <c r="E24" s="12">
        <f>I17</f>
        <v>28.48493040749878</v>
      </c>
      <c r="F24" s="12">
        <f>I18</f>
        <v>42.480666518455457</v>
      </c>
    </row>
    <row r="25" spans="1:10" x14ac:dyDescent="0.35">
      <c r="A25" s="15" t="s">
        <v>21</v>
      </c>
      <c r="D25" s="10">
        <f>G5</f>
        <v>145731</v>
      </c>
      <c r="E25" s="10">
        <f>G5</f>
        <v>145731</v>
      </c>
      <c r="F25" s="10">
        <f>G5</f>
        <v>145731</v>
      </c>
    </row>
    <row r="26" spans="1:10" x14ac:dyDescent="0.35">
      <c r="A26" s="17" t="s">
        <v>22</v>
      </c>
      <c r="D26" s="18">
        <f>D24*D25</f>
        <v>3476029.0466278736</v>
      </c>
      <c r="E26" s="18">
        <f>E24*E25</f>
        <v>4151137.3932152046</v>
      </c>
      <c r="F26" s="18">
        <f>F24*F25</f>
        <v>6190750.0124010323</v>
      </c>
    </row>
    <row r="27" spans="1:10" x14ac:dyDescent="0.35">
      <c r="A27" s="15" t="s">
        <v>23</v>
      </c>
      <c r="D27" s="10">
        <f>E5</f>
        <v>-54178</v>
      </c>
      <c r="E27" s="10">
        <f>E5</f>
        <v>-54178</v>
      </c>
      <c r="F27" s="10">
        <f>E5</f>
        <v>-54178</v>
      </c>
    </row>
    <row r="28" spans="1:10" x14ac:dyDescent="0.35">
      <c r="A28" s="17" t="s">
        <v>24</v>
      </c>
      <c r="D28" s="18">
        <f>D26-D27</f>
        <v>3530207.0466278736</v>
      </c>
      <c r="E28" s="18">
        <f>E26-E27</f>
        <v>4205315.3932152046</v>
      </c>
      <c r="F28" s="18">
        <f>F26-F27</f>
        <v>6244928.0124010323</v>
      </c>
    </row>
    <row r="29" spans="1:10" x14ac:dyDescent="0.35">
      <c r="A29" s="15" t="s">
        <v>25</v>
      </c>
      <c r="D29" s="10">
        <f>Inputs!F5</f>
        <v>10827</v>
      </c>
      <c r="E29" s="10">
        <f>Inputs!F5</f>
        <v>10827</v>
      </c>
      <c r="F29" s="10">
        <f>Inputs!F5</f>
        <v>10827</v>
      </c>
    </row>
    <row r="30" spans="1:10" x14ac:dyDescent="0.35">
      <c r="A30" s="17" t="s">
        <v>26</v>
      </c>
      <c r="D30" s="19">
        <f>D28*1/D29</f>
        <v>326.05588312809397</v>
      </c>
      <c r="E30" s="19">
        <f>E28*1/E29</f>
        <v>388.410029852702</v>
      </c>
      <c r="F30" s="19">
        <f>F28*1/F29</f>
        <v>576.79209498485568</v>
      </c>
    </row>
    <row r="31" spans="1:10" x14ac:dyDescent="0.35">
      <c r="A31" s="15" t="s">
        <v>27</v>
      </c>
      <c r="D31" s="20">
        <f>Inputs!E5</f>
        <v>230.82000732421881</v>
      </c>
      <c r="E31" s="20">
        <f>Inputs!E5</f>
        <v>230.82000732421881</v>
      </c>
      <c r="F31" s="20">
        <f>Inputs!E5</f>
        <v>230.82000732421881</v>
      </c>
    </row>
    <row r="32" spans="1:10" x14ac:dyDescent="0.35">
      <c r="A32" s="17" t="s">
        <v>28</v>
      </c>
      <c r="D32" s="21">
        <f>D30/D31-1</f>
        <v>0.41259801049266542</v>
      </c>
      <c r="E32" s="21">
        <f>E30/E31-1</f>
        <v>0.68273987318233686</v>
      </c>
      <c r="F32" s="21">
        <f>F30/F31-1</f>
        <v>1.4988825781236153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8" customWidth="1"/>
    <col min="2" max="2" width="9" customWidth="1"/>
    <col min="3" max="3" width="14" customWidth="1"/>
    <col min="4" max="4" width="16" customWidth="1"/>
    <col min="5" max="7" width="14" customWidth="1"/>
    <col min="8" max="8" width="16" customWidth="1"/>
    <col min="9" max="10" width="14" customWidth="1"/>
    <col min="11" max="11" width="16" customWidth="1"/>
  </cols>
  <sheetData>
    <row r="1" spans="1:11" ht="18" x14ac:dyDescent="0.4">
      <c r="A1" s="1" t="s">
        <v>29</v>
      </c>
    </row>
    <row r="2" spans="1:11" x14ac:dyDescent="0.35">
      <c r="A2" s="2" t="s">
        <v>30</v>
      </c>
    </row>
    <row r="4" spans="1:11" ht="44" customHeight="1" x14ac:dyDescent="0.35">
      <c r="A4" s="3" t="s">
        <v>2</v>
      </c>
      <c r="B4" s="3" t="s">
        <v>3</v>
      </c>
      <c r="C4" s="3" t="s">
        <v>4</v>
      </c>
      <c r="D4" s="3" t="s">
        <v>31</v>
      </c>
      <c r="E4" s="4" t="s">
        <v>32</v>
      </c>
      <c r="F4" s="4" t="s">
        <v>25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</row>
    <row r="5" spans="1:11" x14ac:dyDescent="0.35">
      <c r="A5" s="22" t="s">
        <v>38</v>
      </c>
      <c r="B5" s="22" t="s">
        <v>39</v>
      </c>
      <c r="C5" s="22" t="s">
        <v>40</v>
      </c>
      <c r="D5" s="23">
        <v>46022</v>
      </c>
      <c r="E5" s="24">
        <v>230.82000732421881</v>
      </c>
      <c r="F5" s="25">
        <v>10827</v>
      </c>
      <c r="G5" s="25">
        <v>68851</v>
      </c>
      <c r="H5" s="25">
        <v>123029</v>
      </c>
      <c r="I5" s="25">
        <v>716924</v>
      </c>
      <c r="J5" s="25">
        <v>79975</v>
      </c>
      <c r="K5" s="25">
        <v>65756</v>
      </c>
    </row>
    <row r="6" spans="1:11" x14ac:dyDescent="0.35">
      <c r="A6" s="9" t="s">
        <v>41</v>
      </c>
      <c r="B6" s="9" t="s">
        <v>42</v>
      </c>
      <c r="C6" s="9" t="s">
        <v>43</v>
      </c>
      <c r="D6" s="26">
        <v>45838</v>
      </c>
      <c r="E6" s="27">
        <v>483.6199951171875</v>
      </c>
      <c r="F6" s="28">
        <v>7465</v>
      </c>
      <c r="G6" s="28">
        <v>43151</v>
      </c>
      <c r="H6" s="28">
        <v>94565</v>
      </c>
      <c r="I6" s="28">
        <v>281724</v>
      </c>
      <c r="J6" s="28">
        <v>128528</v>
      </c>
      <c r="K6" s="28">
        <v>28000</v>
      </c>
    </row>
    <row r="7" spans="1:11" x14ac:dyDescent="0.35">
      <c r="A7" s="9" t="s">
        <v>44</v>
      </c>
      <c r="B7" s="9" t="s">
        <v>45</v>
      </c>
      <c r="C7" s="9" t="s">
        <v>43</v>
      </c>
      <c r="D7" s="26">
        <v>46047</v>
      </c>
      <c r="E7" s="27">
        <v>186.5</v>
      </c>
      <c r="F7" s="28">
        <v>24514</v>
      </c>
      <c r="G7" s="28">
        <v>8468</v>
      </c>
      <c r="H7" s="28">
        <v>10605</v>
      </c>
      <c r="I7" s="28">
        <v>215938</v>
      </c>
      <c r="J7" s="28">
        <v>130387</v>
      </c>
      <c r="K7" s="28">
        <v>2843</v>
      </c>
    </row>
    <row r="8" spans="1:11" x14ac:dyDescent="0.35">
      <c r="A8" s="9" t="s">
        <v>46</v>
      </c>
      <c r="B8" s="9" t="s">
        <v>47</v>
      </c>
      <c r="C8" s="9" t="s">
        <v>43</v>
      </c>
      <c r="D8" s="26">
        <v>46022</v>
      </c>
      <c r="E8" s="27">
        <v>313</v>
      </c>
      <c r="F8" s="28">
        <v>12230</v>
      </c>
      <c r="G8" s="28">
        <v>48543</v>
      </c>
      <c r="H8" s="28">
        <v>126843</v>
      </c>
      <c r="I8" s="28">
        <v>402836</v>
      </c>
      <c r="J8" s="28">
        <v>129039</v>
      </c>
      <c r="K8" s="28">
        <v>21136</v>
      </c>
    </row>
    <row r="9" spans="1:11" x14ac:dyDescent="0.35">
      <c r="A9" s="9" t="s">
        <v>48</v>
      </c>
      <c r="B9" s="9" t="s">
        <v>49</v>
      </c>
      <c r="C9" s="9" t="s">
        <v>43</v>
      </c>
      <c r="D9" s="26">
        <v>46022</v>
      </c>
      <c r="E9" s="27">
        <v>660.09002685546875</v>
      </c>
      <c r="F9" s="28">
        <v>2574</v>
      </c>
      <c r="G9" s="28">
        <v>58744</v>
      </c>
      <c r="H9" s="28">
        <v>81592</v>
      </c>
      <c r="I9" s="28">
        <v>200966</v>
      </c>
      <c r="J9" s="28">
        <v>83276</v>
      </c>
      <c r="K9" s="28">
        <v>18616</v>
      </c>
    </row>
    <row r="10" spans="1:11" x14ac:dyDescent="0.35">
      <c r="A10" s="9" t="s">
        <v>50</v>
      </c>
      <c r="B10" s="9" t="s">
        <v>51</v>
      </c>
      <c r="C10" s="9" t="s">
        <v>43</v>
      </c>
      <c r="D10" s="26">
        <v>45927</v>
      </c>
      <c r="E10" s="27">
        <v>271.8599853515625</v>
      </c>
      <c r="F10" s="28">
        <v>15004.697</v>
      </c>
      <c r="G10" s="28">
        <v>98657</v>
      </c>
      <c r="H10" s="28">
        <v>54697</v>
      </c>
      <c r="I10" s="28">
        <v>416161</v>
      </c>
      <c r="J10" s="28">
        <v>133050</v>
      </c>
      <c r="K10" s="28">
        <v>11698</v>
      </c>
    </row>
    <row r="11" spans="1:11" x14ac:dyDescent="0.35">
      <c r="A11" s="9" t="s">
        <v>52</v>
      </c>
      <c r="B11" s="9" t="s">
        <v>53</v>
      </c>
      <c r="C11" s="9" t="s">
        <v>43</v>
      </c>
      <c r="D11" s="26">
        <v>45963</v>
      </c>
      <c r="E11" s="27">
        <v>346.10000610351563</v>
      </c>
      <c r="F11" s="28">
        <v>4853</v>
      </c>
      <c r="G11" s="28">
        <v>65136</v>
      </c>
      <c r="H11" s="28">
        <v>16178</v>
      </c>
      <c r="I11" s="28">
        <v>63887</v>
      </c>
      <c r="J11" s="28">
        <v>25484</v>
      </c>
      <c r="K11" s="28">
        <v>8636</v>
      </c>
    </row>
    <row r="12" spans="1:11" x14ac:dyDescent="0.35">
      <c r="A12" s="9" t="s">
        <v>54</v>
      </c>
      <c r="B12" s="9" t="s">
        <v>55</v>
      </c>
      <c r="C12" s="9" t="s">
        <v>43</v>
      </c>
      <c r="D12" s="26">
        <v>46022</v>
      </c>
      <c r="E12" s="27">
        <v>153.19000244140619</v>
      </c>
      <c r="F12" s="28">
        <v>1046.691</v>
      </c>
      <c r="G12" s="28">
        <v>1491</v>
      </c>
      <c r="H12" s="28">
        <v>6284</v>
      </c>
      <c r="I12" s="28">
        <v>13278</v>
      </c>
      <c r="J12" s="28">
        <v>1824</v>
      </c>
      <c r="K12" s="28">
        <v>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showGridLines="0" workbookViewId="0"/>
  </sheetViews>
  <sheetFormatPr defaultRowHeight="14.5" x14ac:dyDescent="0.35"/>
  <cols>
    <col min="1" max="1" width="120" customWidth="1"/>
  </cols>
  <sheetData>
    <row r="1" spans="1:1" ht="18" x14ac:dyDescent="0.35">
      <c r="A1" s="29" t="s">
        <v>56</v>
      </c>
    </row>
    <row r="2" spans="1:1" x14ac:dyDescent="0.35">
      <c r="A2" s="30" t="s">
        <v>57</v>
      </c>
    </row>
    <row r="3" spans="1:1" x14ac:dyDescent="0.35">
      <c r="A3" s="31" t="s">
        <v>58</v>
      </c>
    </row>
    <row r="4" spans="1:1" x14ac:dyDescent="0.35">
      <c r="A4" s="31" t="s">
        <v>59</v>
      </c>
    </row>
    <row r="5" spans="1:1" x14ac:dyDescent="0.35">
      <c r="A5" s="31" t="s">
        <v>60</v>
      </c>
    </row>
    <row r="6" spans="1:1" x14ac:dyDescent="0.35">
      <c r="A6" s="31" t="s">
        <v>61</v>
      </c>
    </row>
    <row r="7" spans="1:1" x14ac:dyDescent="0.35">
      <c r="A7" s="31"/>
    </row>
    <row r="8" spans="1:1" x14ac:dyDescent="0.35">
      <c r="A8" s="30" t="s">
        <v>62</v>
      </c>
    </row>
    <row r="9" spans="1:1" ht="25" x14ac:dyDescent="0.35">
      <c r="A9" s="31" t="s">
        <v>63</v>
      </c>
    </row>
    <row r="10" spans="1:1" x14ac:dyDescent="0.35">
      <c r="A10" s="31" t="s">
        <v>64</v>
      </c>
    </row>
    <row r="11" spans="1:1" x14ac:dyDescent="0.35">
      <c r="A11" s="31" t="s">
        <v>65</v>
      </c>
    </row>
    <row r="12" spans="1:1" ht="25" x14ac:dyDescent="0.35">
      <c r="A12" s="31" t="s">
        <v>66</v>
      </c>
    </row>
    <row r="13" spans="1:1" ht="25" x14ac:dyDescent="0.35">
      <c r="A13" s="31" t="s">
        <v>67</v>
      </c>
    </row>
    <row r="14" spans="1:1" ht="25" x14ac:dyDescent="0.35">
      <c r="A14" s="31" t="s">
        <v>68</v>
      </c>
    </row>
    <row r="15" spans="1:1" x14ac:dyDescent="0.35">
      <c r="A15" s="31"/>
    </row>
    <row r="16" spans="1:1" x14ac:dyDescent="0.35">
      <c r="A16" s="30" t="s">
        <v>69</v>
      </c>
    </row>
    <row r="17" spans="1:1" x14ac:dyDescent="0.35">
      <c r="A17" s="31" t="s">
        <v>70</v>
      </c>
    </row>
    <row r="18" spans="1:1" x14ac:dyDescent="0.35">
      <c r="A18" s="31" t="s">
        <v>71</v>
      </c>
    </row>
    <row r="19" spans="1:1" x14ac:dyDescent="0.35">
      <c r="A19" s="3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Multiples</vt:lpstr>
      <vt:lpstr>Inputs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ramirez</cp:lastModifiedBy>
  <dcterms:created xsi:type="dcterms:W3CDTF">2026-10-14T00:50:23Z</dcterms:created>
  <dcterms:modified xsi:type="dcterms:W3CDTF">2026-10-14T00:50:29Z</dcterms:modified>
</cp:coreProperties>
</file>