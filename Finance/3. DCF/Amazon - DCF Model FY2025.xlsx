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rojects\personal-web-portfolio\Finance\3. DCF\"/>
    </mc:Choice>
  </mc:AlternateContent>
  <xr:revisionPtr revIDLastSave="0" documentId="13_ncr:1_{5FC17135-D99C-4CDB-A033-DFAC28C493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F" sheetId="1" r:id="rId1"/>
    <sheet name="WACC" sheetId="2" r:id="rId2"/>
    <sheet name="Sensitivity" sheetId="3" r:id="rId3"/>
    <sheet name="Scenarios" sheetId="4" r:id="rId4"/>
    <sheet name="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F4" i="3"/>
  <c r="E4" i="3"/>
  <c r="D4" i="3"/>
  <c r="C4" i="3"/>
  <c r="B4" i="3"/>
  <c r="B18" i="2"/>
  <c r="B20" i="2" s="1"/>
  <c r="B13" i="2"/>
  <c r="B12" i="2"/>
  <c r="B8" i="2"/>
  <c r="B50" i="1"/>
  <c r="B48" i="1"/>
  <c r="I33" i="1"/>
  <c r="H33" i="1"/>
  <c r="G33" i="1"/>
  <c r="F33" i="1"/>
  <c r="E33" i="1"/>
  <c r="D33" i="1"/>
  <c r="C33" i="1"/>
  <c r="D31" i="1"/>
  <c r="C31" i="1"/>
  <c r="B31" i="1"/>
  <c r="D29" i="1"/>
  <c r="C29" i="1"/>
  <c r="B29" i="1"/>
  <c r="D27" i="1"/>
  <c r="D34" i="1" s="1"/>
  <c r="C27" i="1"/>
  <c r="C34" i="1" s="1"/>
  <c r="B27" i="1"/>
  <c r="B34" i="1" s="1"/>
  <c r="D26" i="1"/>
  <c r="C26" i="1"/>
  <c r="B26" i="1"/>
  <c r="I21" i="1"/>
  <c r="H21" i="1"/>
  <c r="G21" i="1"/>
  <c r="F21" i="1"/>
  <c r="E21" i="1"/>
  <c r="D21" i="1"/>
  <c r="C21" i="1"/>
  <c r="B21" i="1"/>
  <c r="I16" i="1"/>
  <c r="H16" i="1"/>
  <c r="G16" i="1"/>
  <c r="F16" i="1"/>
  <c r="E16" i="1"/>
  <c r="E15" i="1" s="1"/>
  <c r="D16" i="1"/>
  <c r="C16" i="1"/>
  <c r="B6" i="1"/>
  <c r="B14" i="2" l="1"/>
  <c r="B19" i="2"/>
  <c r="B21" i="2" s="1"/>
  <c r="B11" i="1" s="1"/>
  <c r="A7" i="3" s="1"/>
  <c r="E28" i="1"/>
  <c r="E29" i="1" s="1"/>
  <c r="E20" i="1"/>
  <c r="E32" i="1"/>
  <c r="E30" i="1"/>
  <c r="F15" i="1"/>
  <c r="A6" i="3" l="1"/>
  <c r="F37" i="1"/>
  <c r="A5" i="3"/>
  <c r="A9" i="3"/>
  <c r="G37" i="1"/>
  <c r="H37" i="1"/>
  <c r="A8" i="3"/>
  <c r="I37" i="1"/>
  <c r="E37" i="1"/>
  <c r="F20" i="1"/>
  <c r="F32" i="1"/>
  <c r="F30" i="1"/>
  <c r="G15" i="1"/>
  <c r="F28" i="1"/>
  <c r="F29" i="1" s="1"/>
  <c r="E25" i="1"/>
  <c r="E26" i="1" s="1"/>
  <c r="G20" i="1" l="1"/>
  <c r="G32" i="1"/>
  <c r="G30" i="1"/>
  <c r="H15" i="1"/>
  <c r="G28" i="1"/>
  <c r="G29" i="1" s="1"/>
  <c r="E27" i="1"/>
  <c r="E34" i="1" s="1"/>
  <c r="F25" i="1"/>
  <c r="F26" i="1" s="1"/>
  <c r="E38" i="1" l="1"/>
  <c r="F27" i="1"/>
  <c r="F34" i="1" s="1"/>
  <c r="F38" i="1" s="1"/>
  <c r="H32" i="1"/>
  <c r="H30" i="1"/>
  <c r="I15" i="1"/>
  <c r="H28" i="1"/>
  <c r="H29" i="1" s="1"/>
  <c r="H20" i="1"/>
  <c r="G25" i="1"/>
  <c r="G26" i="1" s="1"/>
  <c r="H25" i="1" l="1"/>
  <c r="H26" i="1" s="1"/>
  <c r="I28" i="1"/>
  <c r="I29" i="1" s="1"/>
  <c r="I20" i="1"/>
  <c r="I32" i="1"/>
  <c r="I30" i="1"/>
  <c r="G27" i="1"/>
  <c r="G34" i="1" s="1"/>
  <c r="H27" i="1" l="1"/>
  <c r="H34" i="1" s="1"/>
  <c r="I25" i="1"/>
  <c r="I26" i="1" s="1"/>
  <c r="G38" i="1"/>
  <c r="I27" i="1" l="1"/>
  <c r="I34" i="1" s="1"/>
  <c r="H38" i="1"/>
  <c r="C7" i="3"/>
  <c r="E8" i="3"/>
  <c r="D8" i="3"/>
  <c r="D7" i="3"/>
  <c r="E5" i="3"/>
  <c r="D9" i="3"/>
  <c r="F9" i="3"/>
  <c r="F7" i="3"/>
  <c r="B8" i="3"/>
  <c r="F6" i="3"/>
  <c r="B6" i="3"/>
  <c r="B9" i="3"/>
  <c r="E7" i="3"/>
  <c r="B7" i="3"/>
  <c r="B42" i="1" l="1"/>
  <c r="B43" i="1" s="1"/>
  <c r="I38" i="1"/>
  <c r="B41" i="1" s="1"/>
  <c r="D5" i="3"/>
  <c r="C6" i="3"/>
  <c r="E9" i="3"/>
  <c r="F5" i="3"/>
  <c r="D6" i="3"/>
  <c r="C8" i="3"/>
  <c r="F8" i="3"/>
  <c r="E6" i="3"/>
  <c r="C9" i="3"/>
  <c r="C5" i="3"/>
  <c r="B5" i="3"/>
  <c r="B44" i="1" l="1"/>
  <c r="B47" i="1" s="1"/>
  <c r="B49" i="1" s="1"/>
  <c r="B51" i="1" s="1"/>
  <c r="B52" i="1" l="1"/>
</calcChain>
</file>

<file path=xl/sharedStrings.xml><?xml version="1.0" encoding="utf-8"?>
<sst xmlns="http://schemas.openxmlformats.org/spreadsheetml/2006/main" count="120" uniqueCount="102">
  <si>
    <t>Discounted cash flow model: Amazon</t>
  </si>
  <si>
    <t>Valuation date 31 December 2025. USD millions, except per-share data. Blue figures are inputs; black figures are formulas.</t>
  </si>
  <si>
    <t>Assumptions</t>
  </si>
  <si>
    <t>Scenario switch (1 = Conservative, 2 = Base, 3 = Optimistic)</t>
  </si>
  <si>
    <t>Scenario selected</t>
  </si>
  <si>
    <t>Tax rate on EBIT</t>
  </si>
  <si>
    <t>D&amp;A as % of sales</t>
  </si>
  <si>
    <t>Investment in NWC as % of change in sales</t>
  </si>
  <si>
    <t>Terminal growth rate (TGR)</t>
  </si>
  <si>
    <t>WACC</t>
  </si>
  <si>
    <t>Historical</t>
  </si>
  <si>
    <t>Projected</t>
  </si>
  <si>
    <t>Fiscal year ended 31 December</t>
  </si>
  <si>
    <t>Revenue</t>
  </si>
  <si>
    <t>% growth</t>
  </si>
  <si>
    <t>Conservative scenario</t>
  </si>
  <si>
    <t>Base scenario</t>
  </si>
  <si>
    <t>Optimistic scenario</t>
  </si>
  <si>
    <t>EBIT (operating income)</t>
  </si>
  <si>
    <t>% of sales</t>
  </si>
  <si>
    <t>Taxes</t>
  </si>
  <si>
    <t>% of EBIT</t>
  </si>
  <si>
    <t>EBIAT (EBIT after taxes)</t>
  </si>
  <si>
    <t>D&amp;A</t>
  </si>
  <si>
    <t>Capital expenditures</t>
  </si>
  <si>
    <t>Investment in net working capital</t>
  </si>
  <si>
    <t>% of change in sales</t>
  </si>
  <si>
    <t>Unlevered free cash flow</t>
  </si>
  <si>
    <t>Discount period (years)</t>
  </si>
  <si>
    <t>Discount factor</t>
  </si>
  <si>
    <t>Present value of free cash flow</t>
  </si>
  <si>
    <t>Valuation</t>
  </si>
  <si>
    <t>Sum of present value of free cash flows</t>
  </si>
  <si>
    <t>Terminal value (Gordon growth)</t>
  </si>
  <si>
    <t>Present value of terminal value</t>
  </si>
  <si>
    <t>Enterprise value</t>
  </si>
  <si>
    <t>Less: total debt</t>
  </si>
  <si>
    <t>Plus: cash and short-term investments</t>
  </si>
  <si>
    <t>Equity value</t>
  </si>
  <si>
    <t>Diluted shares (millions)</t>
  </si>
  <si>
    <t>Value per share (USD)</t>
  </si>
  <si>
    <t>Market price, 31 Dec 2025 (USD)</t>
  </si>
  <si>
    <t>Value per share against market price</t>
  </si>
  <si>
    <t>Terminal value as % of enterprise value</t>
  </si>
  <si>
    <t>WACC: weighted average cost of capital</t>
  </si>
  <si>
    <t>Blue figures are inputs. USD millions unless stated.</t>
  </si>
  <si>
    <t>Cost of equity (CAPM)</t>
  </si>
  <si>
    <t>Risk-free rate</t>
  </si>
  <si>
    <t>10-year US Treasury yield at 31 Dec 2025 (FRED, series DGS10)</t>
  </si>
  <si>
    <t>Beta</t>
  </si>
  <si>
    <t>Own calculation: 60 monthly returns of Amazon against the S&amp;P 500, Dec 2020 to Dec 2025 (Yahoo Finance)</t>
  </si>
  <si>
    <t>Equity risk premium</t>
  </si>
  <si>
    <t>Assumption</t>
  </si>
  <si>
    <t>Cost of equity</t>
  </si>
  <si>
    <t>Risk-free rate + beta x equity risk premium</t>
  </si>
  <si>
    <t>Cost of debt</t>
  </si>
  <si>
    <t>Interest expense, 2025</t>
  </si>
  <si>
    <t>Form 10-K</t>
  </si>
  <si>
    <t>Total debt, 31 Dec 2025</t>
  </si>
  <si>
    <t>Form 10-K; excludes lease liabilities</t>
  </si>
  <si>
    <t>Pre-tax cost of debt</t>
  </si>
  <si>
    <t>Interest expense / total debt</t>
  </si>
  <si>
    <t>Tax rate</t>
  </si>
  <si>
    <t>From the DCF assumptions</t>
  </si>
  <si>
    <t>After-tax cost of debt</t>
  </si>
  <si>
    <t>Capital structure</t>
  </si>
  <si>
    <t>Share price, 31 Dec 2025 (USD)</t>
  </si>
  <si>
    <t>Yahoo Finance closing price</t>
  </si>
  <si>
    <t>Form 10-K, weighted average for 2025</t>
  </si>
  <si>
    <t>Market value of equity</t>
  </si>
  <si>
    <t>Equity weight</t>
  </si>
  <si>
    <t>Debt weight</t>
  </si>
  <si>
    <t>Equity weight x cost of equity + debt weight x after-tax cost of debt</t>
  </si>
  <si>
    <t>Sensitivity: value per share (USD) to WACC and terminal growth rate</t>
  </si>
  <si>
    <t>Uses the scenario selected on the DCF sheet. Rows: WACC. Columns: terminal growth rate.</t>
  </si>
  <si>
    <t>WACC \ TGR</t>
  </si>
  <si>
    <t>Scenario results</t>
  </si>
  <si>
    <t>Values recorded from the DCF sheet with the scenario switch set to 1, 2 and 3. Record them again if any input changes.</t>
  </si>
  <si>
    <t>Scenario</t>
  </si>
  <si>
    <t>Revenue 2030</t>
  </si>
  <si>
    <t>EBIT margin 2030</t>
  </si>
  <si>
    <t>Free cash flow 2030</t>
  </si>
  <si>
    <t>Against market price</t>
  </si>
  <si>
    <t>Notes</t>
  </si>
  <si>
    <t>Method</t>
  </si>
  <si>
    <t>Unlevered free cash flow = EBIT after taxes + D&amp;A - capital expenditures - investment in net working capital.</t>
  </si>
  <si>
    <t>Free cash flows for 2026 to 2030 and the terminal value are discounted at the WACC to 31 December 2025, using end-of-year discounting.</t>
  </si>
  <si>
    <t>Terminal value = free cash flow of 2030 x (1 + terminal growth rate) / (WACC - terminal growth rate).</t>
  </si>
  <si>
    <t>Equity value = enterprise value - total debt + cash and short-term investments.</t>
  </si>
  <si>
    <t>Revenue growth, EBIT margin and capital expenditures for 2026 to 2030 are the author's assumptions, not company guidance or analyst forecasts. Change the blue cells to test other views.</t>
  </si>
  <si>
    <t>The equity risk premium of 5.0% and the terminal growth rate of 3.0% are assumptions.</t>
  </si>
  <si>
    <t>Stock-based compensation is not added back: EBIT is taken after that expense.</t>
  </si>
  <si>
    <t>Historical investment in net working capital is the sum of the working capital lines of the cash flow statement (inventories, receivables, payables, accrued expenses, unearned revenue).</t>
  </si>
  <si>
    <t>Total debt excludes lease liabilities. Diluted shares are the weighted average for 2025.</t>
  </si>
  <si>
    <t>This model illustrates the method. It is not a price target or investment advice.</t>
  </si>
  <si>
    <t>Sources</t>
  </si>
  <si>
    <t>Financials: U.S. SEC EDGAR XBRL company facts (data.sec.gov), Amazon Form 10-K for fiscal year 2025.</t>
  </si>
  <si>
    <t>Risk-free rate: FRED, series DGS10. Share prices and index levels: Yahoo Finance.</t>
  </si>
  <si>
    <t>Retrieved on 2026-10-13.</t>
  </si>
  <si>
    <t>Conservative</t>
  </si>
  <si>
    <t>Base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</si>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</sst>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&quot;-&quot;"/>
    <numFmt numFmtId="165" formatCode="0.0%;\(0.0%\)"/>
    <numFmt numFmtId="166" formatCode="0.000"/>
    <numFmt numFmtId="167" formatCode="#.##0"/>
    <numFmt numFmtId="168" formatCode="#,#00%"/>
    <numFmt numFmtId="169" formatCode="#.##000"/>
    <numFmt numFmtId="170" formatCode="#,#00%;\(#,#00%\)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1F293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 wrapText="1"/>
    </xf>
    <xf numFmtId="1" fontId="5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65" fontId="5" fillId="0" borderId="0" xfId="0" applyNumberFormat="1" applyFont="1" applyAlignment="1">
      <alignment horizontal="right" vertical="center" wrapText="1"/>
    </xf>
    <xf numFmtId="10" fontId="4" fillId="0" borderId="0" xfId="0" applyNumberFormat="1" applyFont="1" applyAlignment="1">
      <alignment horizontal="right" vertical="center" wrapText="1"/>
    </xf>
    <xf numFmtId="0" fontId="0" fillId="3" borderId="0" xfId="0" applyFill="1"/>
    <xf numFmtId="0" fontId="6" fillId="3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1" fontId="6" fillId="3" borderId="0" xfId="0" applyNumberFormat="1" applyFont="1" applyFill="1" applyAlignment="1">
      <alignment horizontal="right" vertical="center" wrapText="1"/>
    </xf>
    <xf numFmtId="0" fontId="3" fillId="0" borderId="0" xfId="0" applyFont="1"/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indent="1"/>
    </xf>
    <xf numFmtId="165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indent="3"/>
    </xf>
    <xf numFmtId="0" fontId="4" fillId="0" borderId="0" xfId="0" applyFont="1"/>
    <xf numFmtId="164" fontId="4" fillId="0" borderId="0" xfId="0" applyNumberFormat="1" applyFont="1" applyAlignment="1">
      <alignment horizontal="right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 vertical="center" wrapText="1"/>
    </xf>
    <xf numFmtId="1" fontId="4" fillId="0" borderId="0" xfId="0" applyNumberFormat="1" applyFont="1" applyAlignment="1">
      <alignment horizontal="right" vertical="center" wrapText="1"/>
    </xf>
    <xf numFmtId="166" fontId="4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10" fontId="5" fillId="0" borderId="0" xfId="0" applyNumberFormat="1" applyFont="1" applyAlignment="1">
      <alignment horizontal="right" vertical="center" wrapText="1"/>
    </xf>
    <xf numFmtId="2" fontId="5" fillId="0" borderId="0" xfId="0" applyNumberFormat="1" applyFont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4" fontId="5" fillId="0" borderId="0" xfId="0" applyNumberFormat="1" applyFont="1" applyAlignment="1">
      <alignment horizontal="right" vertical="center" wrapText="1"/>
    </xf>
    <xf numFmtId="165" fontId="6" fillId="3" borderId="0" xfId="0" applyNumberFormat="1" applyFont="1" applyFill="1" applyAlignment="1">
      <alignment horizontal="right" vertical="center" wrapText="1"/>
    </xf>
    <xf numFmtId="10" fontId="3" fillId="0" borderId="0" xfId="0" applyNumberFormat="1" applyFont="1" applyAlignment="1">
      <alignment horizontal="left" vertical="center" wrapText="1"/>
    </xf>
    <xf numFmtId="4" fontId="3" fillId="4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7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69" fontId="7" fillId="0" borderId="0" xfId="0" applyNumberFormat="1" applyFont="1" applyAlignment="1">
      <alignment horizontal="right"/>
    </xf>
    <xf numFmtId="170" fontId="7" fillId="0" borderId="0" xfId="0" applyNumberFormat="1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showGridLines="0" tabSelected="1" workbookViewId="0">
      <pane xSplit="1" ySplit="14" topLeftCell="B1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8" customWidth="1"/>
    <col min="2" max="9" width="13" customWidth="1"/>
  </cols>
  <sheetData>
    <row r="1" spans="1:9" ht="18" x14ac:dyDescent="0.35">
      <c r="A1" s="1" t="s">
        <v>0</v>
      </c>
    </row>
    <row r="2" spans="1:9" ht="24" x14ac:dyDescent="0.35">
      <c r="A2" s="2" t="s">
        <v>1</v>
      </c>
    </row>
    <row r="4" spans="1:9" x14ac:dyDescent="0.35">
      <c r="A4" s="3" t="s">
        <v>2</v>
      </c>
      <c r="B4" s="4"/>
      <c r="C4" s="4"/>
      <c r="D4" s="4"/>
      <c r="E4" s="4"/>
      <c r="F4" s="4"/>
      <c r="G4" s="4"/>
      <c r="H4" s="4"/>
      <c r="I4" s="4"/>
    </row>
    <row r="5" spans="1:9" x14ac:dyDescent="0.35">
      <c r="A5" s="5" t="s">
        <v>3</v>
      </c>
      <c r="B5" s="6">
        <v>2</v>
      </c>
    </row>
    <row r="6" spans="1:9" x14ac:dyDescent="0.35">
      <c r="A6" s="5" t="s">
        <v>4</v>
      </c>
      <c r="B6" s="7" t="str">
        <f>CHOOSE(B5,"Conservative","Base","Optimistic")</f>
        <v>Base</v>
      </c>
    </row>
    <row r="7" spans="1:9" x14ac:dyDescent="0.35">
      <c r="A7" s="5" t="s">
        <v>5</v>
      </c>
      <c r="B7" s="8">
        <v>0.21</v>
      </c>
    </row>
    <row r="8" spans="1:9" x14ac:dyDescent="0.35">
      <c r="A8" s="5" t="s">
        <v>6</v>
      </c>
      <c r="B8" s="8">
        <v>0.09</v>
      </c>
    </row>
    <row r="9" spans="1:9" x14ac:dyDescent="0.35">
      <c r="A9" s="5" t="s">
        <v>7</v>
      </c>
      <c r="B9" s="8">
        <v>0.03</v>
      </c>
    </row>
    <row r="10" spans="1:9" x14ac:dyDescent="0.35">
      <c r="A10" s="5" t="s">
        <v>8</v>
      </c>
      <c r="B10" s="8">
        <v>0.03</v>
      </c>
    </row>
    <row r="11" spans="1:9" x14ac:dyDescent="0.35">
      <c r="A11" s="5" t="s">
        <v>9</v>
      </c>
      <c r="B11" s="9">
        <f>WACC!$B$21</f>
        <v>0.10852882833200725</v>
      </c>
    </row>
    <row r="13" spans="1:9" x14ac:dyDescent="0.35">
      <c r="A13" s="10"/>
      <c r="B13" s="11" t="s">
        <v>10</v>
      </c>
      <c r="C13" s="11" t="s">
        <v>10</v>
      </c>
      <c r="D13" s="11" t="s">
        <v>10</v>
      </c>
      <c r="E13" s="11" t="s">
        <v>11</v>
      </c>
      <c r="F13" s="11" t="s">
        <v>11</v>
      </c>
      <c r="G13" s="11" t="s">
        <v>11</v>
      </c>
      <c r="H13" s="11" t="s">
        <v>11</v>
      </c>
      <c r="I13" s="11" t="s">
        <v>11</v>
      </c>
    </row>
    <row r="14" spans="1:9" x14ac:dyDescent="0.35">
      <c r="A14" s="12" t="s">
        <v>12</v>
      </c>
      <c r="B14" s="13">
        <v>2023</v>
      </c>
      <c r="C14" s="13">
        <v>2024</v>
      </c>
      <c r="D14" s="13">
        <v>2025</v>
      </c>
      <c r="E14" s="13">
        <v>2026</v>
      </c>
      <c r="F14" s="13">
        <v>2027</v>
      </c>
      <c r="G14" s="13">
        <v>2028</v>
      </c>
      <c r="H14" s="13">
        <v>2029</v>
      </c>
      <c r="I14" s="13">
        <v>2030</v>
      </c>
    </row>
    <row r="15" spans="1:9" x14ac:dyDescent="0.35">
      <c r="A15" s="14" t="s">
        <v>13</v>
      </c>
      <c r="B15" s="15">
        <v>574785</v>
      </c>
      <c r="C15" s="15">
        <v>637959</v>
      </c>
      <c r="D15" s="15">
        <v>716924</v>
      </c>
      <c r="E15" s="16">
        <f>D15*(1+E16)</f>
        <v>795785.64</v>
      </c>
      <c r="F15" s="16">
        <f>E15*(1+F16)</f>
        <v>875364.20400000014</v>
      </c>
      <c r="G15" s="16">
        <f>F15*(1+G16)</f>
        <v>954146.98236000026</v>
      </c>
      <c r="H15" s="16">
        <f>G15*(1+H16)</f>
        <v>1030478.7409488003</v>
      </c>
      <c r="I15" s="16">
        <f>H15*(1+I16)</f>
        <v>1102612.2528152165</v>
      </c>
    </row>
    <row r="16" spans="1:9" x14ac:dyDescent="0.35">
      <c r="A16" s="17" t="s">
        <v>14</v>
      </c>
      <c r="C16" s="18">
        <f>C15/B15-1</f>
        <v>0.1099089224666614</v>
      </c>
      <c r="D16" s="18">
        <f>D15/C15-1</f>
        <v>0.12377754683294695</v>
      </c>
      <c r="E16" s="18">
        <f>CHOOSE($B$5,E17,E18,E19)</f>
        <v>0.11</v>
      </c>
      <c r="F16" s="18">
        <f>CHOOSE($B$5,F17,F18,F19)</f>
        <v>0.1</v>
      </c>
      <c r="G16" s="18">
        <f>CHOOSE($B$5,G17,G18,G19)</f>
        <v>0.09</v>
      </c>
      <c r="H16" s="18">
        <f>CHOOSE($B$5,H17,H18,H19)</f>
        <v>0.08</v>
      </c>
      <c r="I16" s="18">
        <f>CHOOSE($B$5,I17,I18,I19)</f>
        <v>7.0000000000000007E-2</v>
      </c>
    </row>
    <row r="17" spans="1:9" x14ac:dyDescent="0.35">
      <c r="A17" s="19" t="s">
        <v>15</v>
      </c>
      <c r="E17" s="8">
        <v>0.09</v>
      </c>
      <c r="F17" s="8">
        <v>0.08</v>
      </c>
      <c r="G17" s="8">
        <v>7.0000000000000007E-2</v>
      </c>
      <c r="H17" s="8">
        <v>0.06</v>
      </c>
      <c r="I17" s="8">
        <v>0.05</v>
      </c>
    </row>
    <row r="18" spans="1:9" x14ac:dyDescent="0.35">
      <c r="A18" s="19" t="s">
        <v>16</v>
      </c>
      <c r="E18" s="8">
        <v>0.11</v>
      </c>
      <c r="F18" s="8">
        <v>0.1</v>
      </c>
      <c r="G18" s="8">
        <v>0.09</v>
      </c>
      <c r="H18" s="8">
        <v>0.08</v>
      </c>
      <c r="I18" s="8">
        <v>7.0000000000000007E-2</v>
      </c>
    </row>
    <row r="19" spans="1:9" x14ac:dyDescent="0.35">
      <c r="A19" s="19" t="s">
        <v>17</v>
      </c>
      <c r="E19" s="8">
        <v>0.13</v>
      </c>
      <c r="F19" s="8">
        <v>0.12</v>
      </c>
      <c r="G19" s="8">
        <v>0.11</v>
      </c>
      <c r="H19" s="8">
        <v>0.1</v>
      </c>
      <c r="I19" s="8">
        <v>0.09</v>
      </c>
    </row>
    <row r="20" spans="1:9" x14ac:dyDescent="0.35">
      <c r="A20" s="14" t="s">
        <v>18</v>
      </c>
      <c r="B20" s="15">
        <v>36852</v>
      </c>
      <c r="C20" s="15">
        <v>68593</v>
      </c>
      <c r="D20" s="15">
        <v>79975</v>
      </c>
      <c r="E20" s="16">
        <f>E15*E21</f>
        <v>95494.276799999992</v>
      </c>
      <c r="F20" s="16">
        <f>F15*F21</f>
        <v>109420.52550000002</v>
      </c>
      <c r="G20" s="16">
        <f>G15*G21</f>
        <v>124039.10770680003</v>
      </c>
      <c r="H20" s="16">
        <f>H15*H21</f>
        <v>139114.63002808805</v>
      </c>
      <c r="I20" s="16">
        <f>I15*I21</f>
        <v>154365.71539413033</v>
      </c>
    </row>
    <row r="21" spans="1:9" x14ac:dyDescent="0.35">
      <c r="A21" s="17" t="s">
        <v>19</v>
      </c>
      <c r="B21" s="18">
        <f>B20/B15</f>
        <v>6.4114407996033296E-2</v>
      </c>
      <c r="C21" s="18">
        <f>C20/C15</f>
        <v>0.1075194487420038</v>
      </c>
      <c r="D21" s="18">
        <f>D20/D15</f>
        <v>0.11155296795755199</v>
      </c>
      <c r="E21" s="18">
        <f>CHOOSE($B$5,E22,E23,E24)</f>
        <v>0.12</v>
      </c>
      <c r="F21" s="18">
        <f>CHOOSE($B$5,F22,F23,F24)</f>
        <v>0.125</v>
      </c>
      <c r="G21" s="18">
        <f>CHOOSE($B$5,G22,G23,G24)</f>
        <v>0.13</v>
      </c>
      <c r="H21" s="18">
        <f>CHOOSE($B$5,H22,H23,H24)</f>
        <v>0.13500000000000001</v>
      </c>
      <c r="I21" s="18">
        <f>CHOOSE($B$5,I22,I23,I24)</f>
        <v>0.14000000000000001</v>
      </c>
    </row>
    <row r="22" spans="1:9" x14ac:dyDescent="0.35">
      <c r="A22" s="19" t="s">
        <v>15</v>
      </c>
      <c r="E22" s="8">
        <v>0.11</v>
      </c>
      <c r="F22" s="8">
        <v>0.11</v>
      </c>
      <c r="G22" s="8">
        <v>0.115</v>
      </c>
      <c r="H22" s="8">
        <v>0.115</v>
      </c>
      <c r="I22" s="8">
        <v>0.12</v>
      </c>
    </row>
    <row r="23" spans="1:9" x14ac:dyDescent="0.35">
      <c r="A23" s="19" t="s">
        <v>16</v>
      </c>
      <c r="E23" s="8">
        <v>0.12</v>
      </c>
      <c r="F23" s="8">
        <v>0.125</v>
      </c>
      <c r="G23" s="8">
        <v>0.13</v>
      </c>
      <c r="H23" s="8">
        <v>0.13500000000000001</v>
      </c>
      <c r="I23" s="8">
        <v>0.14000000000000001</v>
      </c>
    </row>
    <row r="24" spans="1:9" x14ac:dyDescent="0.35">
      <c r="A24" s="19" t="s">
        <v>17</v>
      </c>
      <c r="E24" s="8">
        <v>0.125</v>
      </c>
      <c r="F24" s="8">
        <v>0.13500000000000001</v>
      </c>
      <c r="G24" s="8">
        <v>0.14499999999999999</v>
      </c>
      <c r="H24" s="8">
        <v>0.155</v>
      </c>
      <c r="I24" s="8">
        <v>0.16</v>
      </c>
    </row>
    <row r="25" spans="1:9" x14ac:dyDescent="0.35">
      <c r="A25" s="20" t="s">
        <v>20</v>
      </c>
      <c r="B25" s="15">
        <v>7120</v>
      </c>
      <c r="C25" s="15">
        <v>9265</v>
      </c>
      <c r="D25" s="15">
        <v>19087</v>
      </c>
      <c r="E25" s="21">
        <f>E20*$B$7</f>
        <v>20053.798127999999</v>
      </c>
      <c r="F25" s="21">
        <f>F20*$B$7</f>
        <v>22978.310355000001</v>
      </c>
      <c r="G25" s="21">
        <f>G20*$B$7</f>
        <v>26048.212618428006</v>
      </c>
      <c r="H25" s="21">
        <f>H20*$B$7</f>
        <v>29214.072305898491</v>
      </c>
      <c r="I25" s="21">
        <f>I20*$B$7</f>
        <v>32416.800232767368</v>
      </c>
    </row>
    <row r="26" spans="1:9" x14ac:dyDescent="0.35">
      <c r="A26" s="17" t="s">
        <v>21</v>
      </c>
      <c r="B26" s="18">
        <f t="shared" ref="B26:I26" si="0">B25/B20</f>
        <v>0.19320525344621731</v>
      </c>
      <c r="C26" s="18">
        <f t="shared" si="0"/>
        <v>0.13507209190442174</v>
      </c>
      <c r="D26" s="18">
        <f t="shared" si="0"/>
        <v>0.23866208190059393</v>
      </c>
      <c r="E26" s="18">
        <f t="shared" si="0"/>
        <v>0.21</v>
      </c>
      <c r="F26" s="18">
        <f t="shared" si="0"/>
        <v>0.21</v>
      </c>
      <c r="G26" s="18">
        <f t="shared" si="0"/>
        <v>0.21</v>
      </c>
      <c r="H26" s="18">
        <f t="shared" si="0"/>
        <v>0.21</v>
      </c>
      <c r="I26" s="18">
        <f t="shared" si="0"/>
        <v>0.21</v>
      </c>
    </row>
    <row r="27" spans="1:9" x14ac:dyDescent="0.35">
      <c r="A27" s="14" t="s">
        <v>22</v>
      </c>
      <c r="B27" s="16">
        <f t="shared" ref="B27:I27" si="1">B20-B25</f>
        <v>29732</v>
      </c>
      <c r="C27" s="16">
        <f t="shared" si="1"/>
        <v>59328</v>
      </c>
      <c r="D27" s="16">
        <f t="shared" si="1"/>
        <v>60888</v>
      </c>
      <c r="E27" s="16">
        <f t="shared" si="1"/>
        <v>75440.478671999997</v>
      </c>
      <c r="F27" s="16">
        <f t="shared" si="1"/>
        <v>86442.215145000024</v>
      </c>
      <c r="G27" s="16">
        <f t="shared" si="1"/>
        <v>97990.895088372024</v>
      </c>
      <c r="H27" s="16">
        <f t="shared" si="1"/>
        <v>109900.55772218957</v>
      </c>
      <c r="I27" s="16">
        <f t="shared" si="1"/>
        <v>121948.91516136297</v>
      </c>
    </row>
    <row r="28" spans="1:9" x14ac:dyDescent="0.35">
      <c r="A28" s="20" t="s">
        <v>23</v>
      </c>
      <c r="B28" s="15">
        <v>48663</v>
      </c>
      <c r="C28" s="15">
        <v>52795</v>
      </c>
      <c r="D28" s="15">
        <v>65756</v>
      </c>
      <c r="E28" s="21">
        <f>E15*$B$8</f>
        <v>71620.707599999994</v>
      </c>
      <c r="F28" s="21">
        <f>F15*$B$8</f>
        <v>78782.778360000011</v>
      </c>
      <c r="G28" s="21">
        <f>G15*$B$8</f>
        <v>85873.228412400014</v>
      </c>
      <c r="H28" s="21">
        <f>H15*$B$8</f>
        <v>92743.086685392031</v>
      </c>
      <c r="I28" s="21">
        <f>I15*$B$8</f>
        <v>99235.102753369487</v>
      </c>
    </row>
    <row r="29" spans="1:9" x14ac:dyDescent="0.35">
      <c r="A29" s="17" t="s">
        <v>19</v>
      </c>
      <c r="B29" s="18">
        <f t="shared" ref="B29:I29" si="2">B28/B15</f>
        <v>8.4662960933218512E-2</v>
      </c>
      <c r="C29" s="18">
        <f t="shared" si="2"/>
        <v>8.2756101881155369E-2</v>
      </c>
      <c r="D29" s="18">
        <f t="shared" si="2"/>
        <v>9.1719624395333391E-2</v>
      </c>
      <c r="E29" s="18">
        <f t="shared" si="2"/>
        <v>0.09</v>
      </c>
      <c r="F29" s="18">
        <f t="shared" si="2"/>
        <v>0.09</v>
      </c>
      <c r="G29" s="18">
        <f t="shared" si="2"/>
        <v>0.09</v>
      </c>
      <c r="H29" s="18">
        <f t="shared" si="2"/>
        <v>0.09</v>
      </c>
      <c r="I29" s="18">
        <f t="shared" si="2"/>
        <v>0.09</v>
      </c>
    </row>
    <row r="30" spans="1:9" x14ac:dyDescent="0.35">
      <c r="A30" s="20" t="s">
        <v>24</v>
      </c>
      <c r="B30" s="15">
        <v>52729</v>
      </c>
      <c r="C30" s="15">
        <v>82999</v>
      </c>
      <c r="D30" s="15">
        <v>131819</v>
      </c>
      <c r="E30" s="21">
        <f>E15*E31</f>
        <v>135283.5588</v>
      </c>
      <c r="F30" s="21">
        <f>F15*F31</f>
        <v>131304.6306</v>
      </c>
      <c r="G30" s="21">
        <f>G15*G31</f>
        <v>124039.10770680003</v>
      </c>
      <c r="H30" s="21">
        <f>H15*H31</f>
        <v>123657.44891385603</v>
      </c>
      <c r="I30" s="21">
        <f>I15*I31</f>
        <v>121287.34780967383</v>
      </c>
    </row>
    <row r="31" spans="1:9" x14ac:dyDescent="0.35">
      <c r="A31" s="17" t="s">
        <v>19</v>
      </c>
      <c r="B31" s="18">
        <f>B30/B15</f>
        <v>9.1736910322990334E-2</v>
      </c>
      <c r="C31" s="18">
        <f>C30/C15</f>
        <v>0.13010083720113674</v>
      </c>
      <c r="D31" s="18">
        <f>D30/D15</f>
        <v>0.18386746712343288</v>
      </c>
      <c r="E31" s="8">
        <v>0.17</v>
      </c>
      <c r="F31" s="8">
        <v>0.15</v>
      </c>
      <c r="G31" s="8">
        <v>0.13</v>
      </c>
      <c r="H31" s="8">
        <v>0.12</v>
      </c>
      <c r="I31" s="8">
        <v>0.11</v>
      </c>
    </row>
    <row r="32" spans="1:9" x14ac:dyDescent="0.35">
      <c r="A32" s="20" t="s">
        <v>25</v>
      </c>
      <c r="B32" s="15">
        <v>-724</v>
      </c>
      <c r="C32" s="15">
        <v>1058</v>
      </c>
      <c r="D32" s="15">
        <v>4337</v>
      </c>
      <c r="E32" s="21">
        <f>(E15-D15)*$B$9</f>
        <v>2365.8492000000001</v>
      </c>
      <c r="F32" s="21">
        <f>(F15-E15)*$B$9</f>
        <v>2387.3569200000038</v>
      </c>
      <c r="G32" s="21">
        <f>(G15-F15)*$B$9</f>
        <v>2363.4833508000033</v>
      </c>
      <c r="H32" s="21">
        <f>(H15-G15)*$B$9</f>
        <v>2289.9527576640025</v>
      </c>
      <c r="I32" s="21">
        <f>(I15-H15)*$B$9</f>
        <v>2164.0053559924859</v>
      </c>
    </row>
    <row r="33" spans="1:9" x14ac:dyDescent="0.35">
      <c r="A33" s="17" t="s">
        <v>26</v>
      </c>
      <c r="C33" s="18">
        <f>C32/(C15-B15)</f>
        <v>1.6747396080666097E-2</v>
      </c>
      <c r="D33" s="18">
        <f>D32/(D15-C15)</f>
        <v>5.492306718166276E-2</v>
      </c>
      <c r="E33" s="18">
        <f>$B$9</f>
        <v>0.03</v>
      </c>
      <c r="F33" s="18">
        <f>$B$9</f>
        <v>0.03</v>
      </c>
      <c r="G33" s="18">
        <f>$B$9</f>
        <v>0.03</v>
      </c>
      <c r="H33" s="18">
        <f>$B$9</f>
        <v>0.03</v>
      </c>
      <c r="I33" s="18">
        <f>$B$9</f>
        <v>0.03</v>
      </c>
    </row>
    <row r="34" spans="1:9" x14ac:dyDescent="0.35">
      <c r="A34" s="22" t="s">
        <v>27</v>
      </c>
      <c r="B34" s="23">
        <f t="shared" ref="B34:I34" si="3">B27+B28-B30-B32</f>
        <v>26390</v>
      </c>
      <c r="C34" s="23">
        <f t="shared" si="3"/>
        <v>28066</v>
      </c>
      <c r="D34" s="23">
        <f t="shared" si="3"/>
        <v>-9512</v>
      </c>
      <c r="E34" s="23">
        <f t="shared" si="3"/>
        <v>9411.7782719999923</v>
      </c>
      <c r="F34" s="23">
        <f t="shared" si="3"/>
        <v>31533.005985000011</v>
      </c>
      <c r="G34" s="23">
        <f t="shared" si="3"/>
        <v>57461.532443172022</v>
      </c>
      <c r="H34" s="23">
        <f t="shared" si="3"/>
        <v>76696.242736061569</v>
      </c>
      <c r="I34" s="23">
        <f t="shared" si="3"/>
        <v>97732.664749066142</v>
      </c>
    </row>
    <row r="36" spans="1:9" x14ac:dyDescent="0.35">
      <c r="A36" s="20" t="s">
        <v>28</v>
      </c>
      <c r="E36" s="24">
        <v>1</v>
      </c>
      <c r="F36" s="24">
        <v>2</v>
      </c>
      <c r="G36" s="24">
        <v>3</v>
      </c>
      <c r="H36" s="24">
        <v>4</v>
      </c>
      <c r="I36" s="24">
        <v>5</v>
      </c>
    </row>
    <row r="37" spans="1:9" x14ac:dyDescent="0.35">
      <c r="A37" s="20" t="s">
        <v>29</v>
      </c>
      <c r="E37" s="25">
        <f>1/(1+$B$11)^E36</f>
        <v>0.90209652148125952</v>
      </c>
      <c r="F37" s="25">
        <f>1/(1+$B$11)^F36</f>
        <v>0.81377813406858857</v>
      </c>
      <c r="G37" s="25">
        <f>1/(1+$B$11)^G36</f>
        <v>0.73410642400078385</v>
      </c>
      <c r="H37" s="25">
        <f>1/(1+$B$11)^H36</f>
        <v>0.66223485148815375</v>
      </c>
      <c r="I37" s="25">
        <f>1/(1+$B$11)^I36</f>
        <v>0.59739975593112205</v>
      </c>
    </row>
    <row r="38" spans="1:9" x14ac:dyDescent="0.35">
      <c r="A38" s="14" t="s">
        <v>30</v>
      </c>
      <c r="E38" s="16">
        <f>E34*E37</f>
        <v>8490.3324401240934</v>
      </c>
      <c r="F38" s="16">
        <f>F34*F37</f>
        <v>25660.870772046943</v>
      </c>
      <c r="G38" s="16">
        <f>G34*G37</f>
        <v>42182.88009946204</v>
      </c>
      <c r="H38" s="16">
        <f>H34*H37</f>
        <v>50790.924918015124</v>
      </c>
      <c r="I38" s="16">
        <f>I34*I37</f>
        <v>58385.470067590286</v>
      </c>
    </row>
    <row r="40" spans="1:9" x14ac:dyDescent="0.35">
      <c r="A40" s="3" t="s">
        <v>31</v>
      </c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5" t="s">
        <v>32</v>
      </c>
      <c r="B41" s="21">
        <f>SUM(E38:I38)</f>
        <v>185510.47829723847</v>
      </c>
    </row>
    <row r="42" spans="1:9" x14ac:dyDescent="0.35">
      <c r="A42" s="5" t="s">
        <v>33</v>
      </c>
      <c r="B42" s="21">
        <f>I34*(1+B10)/(B11-B10)</f>
        <v>1281881.4036794768</v>
      </c>
    </row>
    <row r="43" spans="1:9" x14ac:dyDescent="0.35">
      <c r="A43" s="5" t="s">
        <v>34</v>
      </c>
      <c r="B43" s="21">
        <f>B42*I37</f>
        <v>765795.63769076357</v>
      </c>
    </row>
    <row r="44" spans="1:9" x14ac:dyDescent="0.35">
      <c r="A44" s="26" t="s">
        <v>35</v>
      </c>
      <c r="B44" s="23">
        <f>B41+B43</f>
        <v>951306.11598800204</v>
      </c>
    </row>
    <row r="45" spans="1:9" x14ac:dyDescent="0.35">
      <c r="A45" s="5" t="s">
        <v>36</v>
      </c>
      <c r="B45" s="15">
        <v>68851</v>
      </c>
    </row>
    <row r="46" spans="1:9" x14ac:dyDescent="0.35">
      <c r="A46" s="5" t="s">
        <v>37</v>
      </c>
      <c r="B46" s="15">
        <v>123029</v>
      </c>
    </row>
    <row r="47" spans="1:9" x14ac:dyDescent="0.35">
      <c r="A47" s="26" t="s">
        <v>38</v>
      </c>
      <c r="B47" s="23">
        <f>B44-B45+B46</f>
        <v>1005484.115988002</v>
      </c>
    </row>
    <row r="48" spans="1:9" x14ac:dyDescent="0.35">
      <c r="A48" s="5" t="s">
        <v>39</v>
      </c>
      <c r="B48" s="21">
        <f>WACC!B17</f>
        <v>10827</v>
      </c>
    </row>
    <row r="49" spans="1:2" x14ac:dyDescent="0.35">
      <c r="A49" s="26" t="s">
        <v>40</v>
      </c>
      <c r="B49" s="27">
        <f>B47/B48</f>
        <v>92.868210583541341</v>
      </c>
    </row>
    <row r="50" spans="1:2" x14ac:dyDescent="0.35">
      <c r="A50" s="5" t="s">
        <v>41</v>
      </c>
      <c r="B50" s="28">
        <f>WACC!B16</f>
        <v>230.82000732421881</v>
      </c>
    </row>
    <row r="51" spans="1:2" x14ac:dyDescent="0.35">
      <c r="A51" s="26" t="s">
        <v>42</v>
      </c>
      <c r="B51" s="29">
        <f>B49/B50-1</f>
        <v>-0.59765961512558563</v>
      </c>
    </row>
    <row r="52" spans="1:2" x14ac:dyDescent="0.35">
      <c r="A52" s="5" t="s">
        <v>43</v>
      </c>
      <c r="B52" s="30">
        <f>B43/B44</f>
        <v>0.80499391817262511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showGridLines="0" workbookViewId="0"/>
  </sheetViews>
  <sheetFormatPr defaultRowHeight="14.5" x14ac:dyDescent="0.35"/>
  <cols>
    <col min="1" max="1" width="34" customWidth="1"/>
    <col min="2" max="2" width="16" customWidth="1"/>
    <col min="3" max="3" width="100" customWidth="1"/>
  </cols>
  <sheetData>
    <row r="1" spans="1:3" ht="36" x14ac:dyDescent="0.35">
      <c r="A1" s="1" t="s">
        <v>44</v>
      </c>
    </row>
    <row r="2" spans="1:3" ht="24" x14ac:dyDescent="0.35">
      <c r="A2" s="2" t="s">
        <v>45</v>
      </c>
    </row>
    <row r="4" spans="1:3" x14ac:dyDescent="0.35">
      <c r="A4" s="3" t="s">
        <v>46</v>
      </c>
      <c r="B4" s="4"/>
      <c r="C4" s="4"/>
    </row>
    <row r="5" spans="1:3" x14ac:dyDescent="0.35">
      <c r="A5" s="5" t="s">
        <v>47</v>
      </c>
      <c r="B5" s="31">
        <v>4.1799999999999997E-2</v>
      </c>
      <c r="C5" s="2" t="s">
        <v>48</v>
      </c>
    </row>
    <row r="6" spans="1:3" x14ac:dyDescent="0.35">
      <c r="A6" s="5" t="s">
        <v>49</v>
      </c>
      <c r="B6" s="32">
        <v>1.38</v>
      </c>
      <c r="C6" s="2" t="s">
        <v>50</v>
      </c>
    </row>
    <row r="7" spans="1:3" x14ac:dyDescent="0.35">
      <c r="A7" s="5" t="s">
        <v>51</v>
      </c>
      <c r="B7" s="31">
        <v>0.05</v>
      </c>
      <c r="C7" s="2" t="s">
        <v>52</v>
      </c>
    </row>
    <row r="8" spans="1:3" x14ac:dyDescent="0.35">
      <c r="A8" s="26" t="s">
        <v>53</v>
      </c>
      <c r="B8" s="33">
        <f>B5+B6*B7</f>
        <v>0.11079999999999998</v>
      </c>
      <c r="C8" s="2" t="s">
        <v>54</v>
      </c>
    </row>
    <row r="9" spans="1:3" x14ac:dyDescent="0.35">
      <c r="A9" s="3" t="s">
        <v>55</v>
      </c>
      <c r="B9" s="4"/>
      <c r="C9" s="4"/>
    </row>
    <row r="10" spans="1:3" x14ac:dyDescent="0.35">
      <c r="A10" s="5" t="s">
        <v>56</v>
      </c>
      <c r="B10" s="15">
        <v>2274</v>
      </c>
      <c r="C10" s="2" t="s">
        <v>57</v>
      </c>
    </row>
    <row r="11" spans="1:3" x14ac:dyDescent="0.35">
      <c r="A11" s="5" t="s">
        <v>58</v>
      </c>
      <c r="B11" s="15">
        <v>68851</v>
      </c>
      <c r="C11" s="2" t="s">
        <v>59</v>
      </c>
    </row>
    <row r="12" spans="1:3" x14ac:dyDescent="0.35">
      <c r="A12" s="5" t="s">
        <v>60</v>
      </c>
      <c r="B12" s="9">
        <f>B10/B11</f>
        <v>3.3027842732857908E-2</v>
      </c>
      <c r="C12" s="2" t="s">
        <v>61</v>
      </c>
    </row>
    <row r="13" spans="1:3" x14ac:dyDescent="0.35">
      <c r="A13" s="5" t="s">
        <v>62</v>
      </c>
      <c r="B13" s="9">
        <f>DCF!B7</f>
        <v>0.21</v>
      </c>
      <c r="C13" s="2" t="s">
        <v>63</v>
      </c>
    </row>
    <row r="14" spans="1:3" x14ac:dyDescent="0.35">
      <c r="A14" s="26" t="s">
        <v>64</v>
      </c>
      <c r="B14" s="33">
        <f>B12*(1-B13)</f>
        <v>2.6091995758957747E-2</v>
      </c>
      <c r="C14" s="2"/>
    </row>
    <row r="15" spans="1:3" x14ac:dyDescent="0.35">
      <c r="A15" s="3" t="s">
        <v>65</v>
      </c>
      <c r="B15" s="4"/>
      <c r="C15" s="4"/>
    </row>
    <row r="16" spans="1:3" x14ac:dyDescent="0.35">
      <c r="A16" s="5" t="s">
        <v>66</v>
      </c>
      <c r="B16" s="34">
        <v>230.82000732421881</v>
      </c>
      <c r="C16" s="2" t="s">
        <v>67</v>
      </c>
    </row>
    <row r="17" spans="1:3" x14ac:dyDescent="0.35">
      <c r="A17" s="5" t="s">
        <v>39</v>
      </c>
      <c r="B17" s="15">
        <v>10827</v>
      </c>
      <c r="C17" s="2" t="s">
        <v>68</v>
      </c>
    </row>
    <row r="18" spans="1:3" x14ac:dyDescent="0.35">
      <c r="A18" s="5" t="s">
        <v>69</v>
      </c>
      <c r="B18" s="21">
        <f>B16*B17</f>
        <v>2499088.2192993169</v>
      </c>
      <c r="C18" s="2"/>
    </row>
    <row r="19" spans="1:3" x14ac:dyDescent="0.35">
      <c r="A19" s="5" t="s">
        <v>70</v>
      </c>
      <c r="B19" s="30">
        <f>B18/(B18+B11)</f>
        <v>0.97318822833400764</v>
      </c>
      <c r="C19" s="2"/>
    </row>
    <row r="20" spans="1:3" x14ac:dyDescent="0.35">
      <c r="A20" s="5" t="s">
        <v>71</v>
      </c>
      <c r="B20" s="30">
        <f>B11/(B18+B11)</f>
        <v>2.6811771665992374E-2</v>
      </c>
      <c r="C20" s="2"/>
    </row>
    <row r="21" spans="1:3" x14ac:dyDescent="0.35">
      <c r="A21" s="26" t="s">
        <v>9</v>
      </c>
      <c r="B21" s="33">
        <f>B19*B8+B20*B14</f>
        <v>0.10852882833200725</v>
      </c>
      <c r="C21" s="2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/>
  </sheetViews>
  <sheetFormatPr defaultRowHeight="14.5" x14ac:dyDescent="0.35"/>
  <cols>
    <col min="1" max="1" width="34" customWidth="1"/>
    <col min="2" max="6" width="13" customWidth="1"/>
  </cols>
  <sheetData>
    <row r="1" spans="1:6" ht="54" x14ac:dyDescent="0.35">
      <c r="A1" s="1" t="s">
        <v>73</v>
      </c>
    </row>
    <row r="2" spans="1:6" ht="36" x14ac:dyDescent="0.35">
      <c r="A2" s="2" t="s">
        <v>74</v>
      </c>
    </row>
    <row r="4" spans="1:6" x14ac:dyDescent="0.35">
      <c r="A4" s="12" t="s">
        <v>75</v>
      </c>
      <c r="B4" s="35">
        <f>DCF!$B$10+(-0.01)</f>
        <v>1.9999999999999997E-2</v>
      </c>
      <c r="C4" s="35">
        <f>DCF!$B$10+(-0.005)</f>
        <v>2.4999999999999998E-2</v>
      </c>
      <c r="D4" s="35">
        <f>DCF!$B$10+(0)</f>
        <v>0.03</v>
      </c>
      <c r="E4" s="35">
        <f>DCF!$B$10+(0.005)</f>
        <v>3.4999999999999996E-2</v>
      </c>
      <c r="F4" s="35">
        <f>DCF!$B$10+(0.01)</f>
        <v>0.04</v>
      </c>
    </row>
    <row r="5" spans="1:6" x14ac:dyDescent="0.35">
      <c r="A5" s="36">
        <f>DCF!$B$11+(-0.01)</f>
        <v>9.8528828332007254E-2</v>
      </c>
      <c r="B5" s="28">
        <f>(DCF!$E$34/(1+$A5)^1+DCF!$F$34/(1+$A5)^2+DCF!$G$34/(1+$A5)^3+DCF!$H$34/(1+$A5)^4+DCF!$I$34/(1+$A5)^5+DCF!$I$34*(1+B$4)/($A5-B$4)/(1+$A5)^5-DCF!$B$45+DCF!$B$46)/DCF!$B$48</f>
        <v>96.009113552909639</v>
      </c>
      <c r="C5" s="28">
        <f>(DCF!$E$34/(1+$A5)^1+DCF!$F$34/(1+$A5)^2+DCF!$G$34/(1+$A5)^3+DCF!$H$34/(1+$A5)^4+DCF!$I$34/(1+$A5)^5+DCF!$I$34*(1+C$4)/($A5-C$4)/(1+$A5)^5-DCF!$B$45+DCF!$B$46)/DCF!$B$48</f>
        <v>101.37657595103926</v>
      </c>
      <c r="D5" s="28">
        <f>(DCF!$E$34/(1+$A5)^1+DCF!$F$34/(1+$A5)^2+DCF!$G$34/(1+$A5)^3+DCF!$H$34/(1+$A5)^4+DCF!$I$34/(1+$A5)^5+DCF!$I$34*(1+D$4)/($A5-D$4)/(1+$A5)^5-DCF!$B$45+DCF!$B$46)/DCF!$B$48</f>
        <v>107.52727987376137</v>
      </c>
      <c r="E5" s="28">
        <f>(DCF!$E$34/(1+$A5)^1+DCF!$F$34/(1+$A5)^2+DCF!$G$34/(1+$A5)^3+DCF!$H$34/(1+$A5)^4+DCF!$I$34/(1+$A5)^5+DCF!$I$34*(1+E$4)/($A5-E$4)/(1+$A5)^5-DCF!$B$45+DCF!$B$46)/DCF!$B$48</f>
        <v>114.64615904608479</v>
      </c>
      <c r="F5" s="28">
        <f>(DCF!$E$34/(1+$A5)^1+DCF!$F$34/(1+$A5)^2+DCF!$G$34/(1+$A5)^3+DCF!$H$34/(1+$A5)^4+DCF!$I$34/(1+$A5)^5+DCF!$I$34*(1+F$4)/($A5-F$4)/(1+$A5)^5-DCF!$B$45+DCF!$B$46)/DCF!$B$48</f>
        <v>122.98134125662069</v>
      </c>
    </row>
    <row r="6" spans="1:6" x14ac:dyDescent="0.35">
      <c r="A6" s="36">
        <f>DCF!$B$11+(-0.005)</f>
        <v>0.10352882833200724</v>
      </c>
      <c r="B6" s="28">
        <f>(DCF!$E$34/(1+$A6)^1+DCF!$F$34/(1+$A6)^2+DCF!$G$34/(1+$A6)^3+DCF!$H$34/(1+$A6)^4+DCF!$I$34/(1+$A6)^5+DCF!$I$34*(1+B$4)/($A6-B$4)/(1+$A6)^5-DCF!$B$45+DCF!$B$46)/DCF!$B$48</f>
        <v>89.781295186675919</v>
      </c>
      <c r="C6" s="28">
        <f>(DCF!$E$34/(1+$A6)^1+DCF!$F$34/(1+$A6)^2+DCF!$G$34/(1+$A6)^3+DCF!$H$34/(1+$A6)^4+DCF!$I$34/(1+$A6)^5+DCF!$I$34*(1+C$4)/($A6-C$4)/(1+$A6)^5-DCF!$B$45+DCF!$B$46)/DCF!$B$48</f>
        <v>94.421117705155609</v>
      </c>
      <c r="D6" s="28">
        <f>(DCF!$E$34/(1+$A6)^1+DCF!$F$34/(1+$A6)^2+DCF!$G$34/(1+$A6)^3+DCF!$H$34/(1+$A6)^4+DCF!$I$34/(1+$A6)^5+DCF!$I$34*(1+D$4)/($A6-D$4)/(1+$A6)^5-DCF!$B$45+DCF!$B$46)/DCF!$B$48</f>
        <v>99.69196109310019</v>
      </c>
      <c r="E6" s="28">
        <f>(DCF!$E$34/(1+$A6)^1+DCF!$F$34/(1+$A6)^2+DCF!$G$34/(1+$A6)^3+DCF!$H$34/(1+$A6)^4+DCF!$I$34/(1+$A6)^5+DCF!$I$34*(1+E$4)/($A6-E$4)/(1+$A6)^5-DCF!$B$45+DCF!$B$46)/DCF!$B$48</f>
        <v>105.73194697424607</v>
      </c>
      <c r="F6" s="28">
        <f>(DCF!$E$34/(1+$A6)^1+DCF!$F$34/(1+$A6)^2+DCF!$G$34/(1+$A6)^3+DCF!$H$34/(1+$A6)^4+DCF!$I$34/(1+$A6)^5+DCF!$I$34*(1+F$4)/($A6-F$4)/(1+$A6)^5-DCF!$B$45+DCF!$B$46)/DCF!$B$48</f>
        <v>112.72268010506269</v>
      </c>
    </row>
    <row r="7" spans="1:6" x14ac:dyDescent="0.35">
      <c r="A7" s="36">
        <f>DCF!$B$11+(0)</f>
        <v>0.10852882833200725</v>
      </c>
      <c r="B7" s="28">
        <f>(DCF!$E$34/(1+$A7)^1+DCF!$F$34/(1+$A7)^2+DCF!$G$34/(1+$A7)^3+DCF!$H$34/(1+$A7)^4+DCF!$I$34/(1+$A7)^5+DCF!$I$34*(1+B$4)/($A7-B$4)/(1+$A7)^5-DCF!$B$45+DCF!$B$46)/DCF!$B$48</f>
        <v>84.269569884140182</v>
      </c>
      <c r="C7" s="28">
        <f>(DCF!$E$34/(1+$A7)^1+DCF!$F$34/(1+$A7)^2+DCF!$G$34/(1+$A7)^3+DCF!$H$34/(1+$A7)^4+DCF!$I$34/(1+$A7)^5+DCF!$I$34*(1+C$4)/($A7-C$4)/(1+$A7)^5-DCF!$B$45+DCF!$B$46)/DCF!$B$48</f>
        <v>88.311534753370481</v>
      </c>
      <c r="D7" s="37">
        <f>(DCF!$E$34/(1+$A7)^1+DCF!$F$34/(1+$A7)^2+DCF!$G$34/(1+$A7)^3+DCF!$H$34/(1+$A7)^4+DCF!$I$34/(1+$A7)^5+DCF!$I$34*(1+D$4)/($A7-D$4)/(1+$A7)^5-DCF!$B$45+DCF!$B$46)/DCF!$B$48</f>
        <v>92.868210583541341</v>
      </c>
      <c r="E7" s="28">
        <f>(DCF!$E$34/(1+$A7)^1+DCF!$F$34/(1+$A7)^2+DCF!$G$34/(1+$A7)^3+DCF!$H$34/(1+$A7)^4+DCF!$I$34/(1+$A7)^5+DCF!$I$34*(1+E$4)/($A7-E$4)/(1+$A7)^5-DCF!$B$45+DCF!$B$46)/DCF!$B$48</f>
        <v>98.044599243841319</v>
      </c>
      <c r="F7" s="28">
        <f>(DCF!$E$34/(1+$A7)^1+DCF!$F$34/(1+$A7)^2+DCF!$G$34/(1+$A7)^3+DCF!$H$34/(1+$A7)^4+DCF!$I$34/(1+$A7)^5+DCF!$I$34*(1+F$4)/($A7-F$4)/(1+$A7)^5-DCF!$B$45+DCF!$B$46)/DCF!$B$48</f>
        <v>103.9763471866934</v>
      </c>
    </row>
    <row r="8" spans="1:6" x14ac:dyDescent="0.35">
      <c r="A8" s="36">
        <f>DCF!$B$11+(0.005)</f>
        <v>0.11352882833200725</v>
      </c>
      <c r="B8" s="28">
        <f>(DCF!$E$34/(1+$A8)^1+DCF!$F$34/(1+$A8)^2+DCF!$G$34/(1+$A8)^3+DCF!$H$34/(1+$A8)^4+DCF!$I$34/(1+$A8)^5+DCF!$I$34*(1+B$4)/($A8-B$4)/(1+$A8)^5-DCF!$B$45+DCF!$B$46)/DCF!$B$48</f>
        <v>79.358819795156137</v>
      </c>
      <c r="C8" s="28">
        <f>(DCF!$E$34/(1+$A8)^1+DCF!$F$34/(1+$A8)^2+DCF!$G$34/(1+$A8)^3+DCF!$H$34/(1+$A8)^4+DCF!$I$34/(1+$A8)^5+DCF!$I$34*(1+C$4)/($A8-C$4)/(1+$A8)^5-DCF!$B$45+DCF!$B$46)/DCF!$B$48</f>
        <v>82.904222220317791</v>
      </c>
      <c r="D8" s="28">
        <f>(DCF!$E$34/(1+$A8)^1+DCF!$F$34/(1+$A8)^2+DCF!$G$34/(1+$A8)^3+DCF!$H$34/(1+$A8)^4+DCF!$I$34/(1+$A8)^5+DCF!$I$34*(1+D$4)/($A8-D$4)/(1+$A8)^5-DCF!$B$45+DCF!$B$46)/DCF!$B$48</f>
        <v>86.874077196288567</v>
      </c>
      <c r="E8" s="28">
        <f>(DCF!$E$34/(1+$A8)^1+DCF!$F$34/(1+$A8)^2+DCF!$G$34/(1+$A8)^3+DCF!$H$34/(1+$A8)^4+DCF!$I$34/(1+$A8)^5+DCF!$I$34*(1+E$4)/($A8-E$4)/(1+$A8)^5-DCF!$B$45+DCF!$B$46)/DCF!$B$48</f>
        <v>91.349460531753863</v>
      </c>
      <c r="F8" s="28">
        <f>(DCF!$E$34/(1+$A8)^1+DCF!$F$34/(1+$A8)^2+DCF!$G$34/(1+$A8)^3+DCF!$H$34/(1+$A8)^4+DCF!$I$34/(1+$A8)^5+DCF!$I$34*(1+F$4)/($A8-F$4)/(1+$A8)^5-DCF!$B$45+DCF!$B$46)/DCF!$B$48</f>
        <v>96.433500830343547</v>
      </c>
    </row>
    <row r="9" spans="1:6" x14ac:dyDescent="0.35">
      <c r="A9" s="36">
        <f>DCF!$B$11+(0.01)</f>
        <v>0.11852882833200724</v>
      </c>
      <c r="B9" s="28">
        <f>(DCF!$E$34/(1+$A9)^1+DCF!$F$34/(1+$A9)^2+DCF!$G$34/(1+$A9)^3+DCF!$H$34/(1+$A9)^4+DCF!$I$34/(1+$A9)^5+DCF!$I$34*(1+B$4)/($A9-B$4)/(1+$A9)^5-DCF!$B$45+DCF!$B$46)/DCF!$B$48</f>
        <v>74.957301621284259</v>
      </c>
      <c r="C9" s="28">
        <f>(DCF!$E$34/(1+$A9)^1+DCF!$F$34/(1+$A9)^2+DCF!$G$34/(1+$A9)^3+DCF!$H$34/(1+$A9)^4+DCF!$I$34/(1+$A9)^5+DCF!$I$34*(1+C$4)/($A9-C$4)/(1+$A9)^5-DCF!$B$45+DCF!$B$46)/DCF!$B$48</f>
        <v>78.086290851262802</v>
      </c>
      <c r="D9" s="28">
        <f>(DCF!$E$34/(1+$A9)^1+DCF!$F$34/(1+$A9)^2+DCF!$G$34/(1+$A9)^3+DCF!$H$34/(1+$A9)^4+DCF!$I$34/(1+$A9)^5+DCF!$I$34*(1+D$4)/($A9-D$4)/(1+$A9)^5-DCF!$B$45+DCF!$B$46)/DCF!$B$48</f>
        <v>81.568723054443709</v>
      </c>
      <c r="E9" s="28">
        <f>(DCF!$E$34/(1+$A9)^1+DCF!$F$34/(1+$A9)^2+DCF!$G$34/(1+$A9)^3+DCF!$H$34/(1+$A9)^4+DCF!$I$34/(1+$A9)^5+DCF!$I$34*(1+E$4)/($A9-E$4)/(1+$A9)^5-DCF!$B$45+DCF!$B$46)/DCF!$B$48</f>
        <v>85.468069067230445</v>
      </c>
      <c r="F9" s="28">
        <f>(DCF!$E$34/(1+$A9)^1+DCF!$F$34/(1+$A9)^2+DCF!$G$34/(1+$A9)^3+DCF!$H$34/(1+$A9)^4+DCF!$I$34/(1+$A9)^5+DCF!$I$34*(1+F$4)/($A9-F$4)/(1+$A9)^5-DCF!$B$45+DCF!$B$46)/DCF!$B$48</f>
        <v>89.863964703335284</v>
      </c>
    </row>
    <row r="11" spans="1:6" x14ac:dyDescent="0.35">
      <c r="A11" s="5" t="s">
        <v>41</v>
      </c>
      <c r="B11" s="28">
        <f>WACC!B16</f>
        <v>230.82000732421881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workbookViewId="0"/>
  </sheetViews>
  <sheetFormatPr defaultRowHeight="14.5" x14ac:dyDescent="0.35"/>
  <cols>
    <col min="1" max="1" width="18" customWidth="1"/>
    <col min="2" max="8" width="20" customWidth="1"/>
  </cols>
  <sheetData>
    <row r="1" spans="1:8" ht="36" x14ac:dyDescent="0.35">
      <c r="A1" s="1" t="s">
        <v>76</v>
      </c>
    </row>
    <row r="2" spans="1:8" ht="72" x14ac:dyDescent="0.35">
      <c r="A2" s="2" t="s">
        <v>77</v>
      </c>
    </row>
    <row r="4" spans="1:8" x14ac:dyDescent="0.35">
      <c r="A4" s="12" t="s">
        <v>78</v>
      </c>
      <c r="B4" s="11" t="s">
        <v>79</v>
      </c>
      <c r="C4" s="11" t="s">
        <v>80</v>
      </c>
      <c r="D4" s="11" t="s">
        <v>81</v>
      </c>
      <c r="E4" s="11" t="s">
        <v>35</v>
      </c>
      <c r="F4" s="11" t="s">
        <v>38</v>
      </c>
      <c r="G4" s="11" t="s">
        <v>40</v>
      </c>
      <c r="H4" s="11" t="s">
        <v>82</v>
      </c>
    </row>
    <row r="5" spans="1:8" x14ac:dyDescent="0.35">
      <c r="A5" s="45" t="s">
        <v>99</v>
      </c>
      <c r="B5" s="41">
        <v>1005083.8963008482</v>
      </c>
      <c r="C5" s="42">
        <v>0.12</v>
      </c>
      <c r="D5" s="41">
        <v>73744.441305730797</v>
      </c>
      <c r="E5" s="41">
        <v>711860.16363335238</v>
      </c>
      <c r="F5" s="41">
        <v>766038.16363335238</v>
      </c>
      <c r="G5" s="43">
        <v>70.752578150305013</v>
      </c>
      <c r="H5" s="44">
        <v>-0.6934729403637736</v>
      </c>
    </row>
    <row r="6" spans="1:8" x14ac:dyDescent="0.35">
      <c r="A6" s="45" t="s">
        <v>100</v>
      </c>
      <c r="B6" s="41">
        <v>1102612.2528152165</v>
      </c>
      <c r="C6" s="42">
        <v>0.14000000000000001</v>
      </c>
      <c r="D6" s="41">
        <v>97732.664749066142</v>
      </c>
      <c r="E6" s="41">
        <v>951306.11598800204</v>
      </c>
      <c r="F6" s="41">
        <v>1005484.115988002</v>
      </c>
      <c r="G6" s="43">
        <v>92.868210583541341</v>
      </c>
      <c r="H6" s="44">
        <v>-0.59765961512558563</v>
      </c>
    </row>
    <row r="7" spans="1:8" x14ac:dyDescent="0.35">
      <c r="A7" s="45" t="s">
        <v>101</v>
      </c>
      <c r="B7" s="41">
        <v>1207568.4208748164</v>
      </c>
      <c r="C7" s="42">
        <v>0.16</v>
      </c>
      <c r="D7" s="41">
        <v>125494.05545230799</v>
      </c>
      <c r="E7" s="41">
        <v>1220292.5284656784</v>
      </c>
      <c r="F7" s="41">
        <v>1274470.5284656784</v>
      </c>
      <c r="G7" s="43">
        <v>117.7122497890162</v>
      </c>
      <c r="H7" s="44">
        <v>-0.49002579475845454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showGridLines="0" workbookViewId="0"/>
  </sheetViews>
  <sheetFormatPr defaultRowHeight="14.5" x14ac:dyDescent="0.35"/>
  <cols>
    <col min="1" max="1" width="120" customWidth="1"/>
  </cols>
  <sheetData>
    <row r="1" spans="1:1" ht="18" x14ac:dyDescent="0.35">
      <c r="A1" s="38" t="s">
        <v>83</v>
      </c>
    </row>
    <row r="2" spans="1:1" x14ac:dyDescent="0.35">
      <c r="A2" s="39" t="s">
        <v>84</v>
      </c>
    </row>
    <row r="3" spans="1:1" x14ac:dyDescent="0.35">
      <c r="A3" s="40" t="s">
        <v>85</v>
      </c>
    </row>
    <row r="4" spans="1:1" x14ac:dyDescent="0.35">
      <c r="A4" s="40" t="s">
        <v>86</v>
      </c>
    </row>
    <row r="5" spans="1:1" x14ac:dyDescent="0.35">
      <c r="A5" s="40" t="s">
        <v>87</v>
      </c>
    </row>
    <row r="6" spans="1:1" x14ac:dyDescent="0.35">
      <c r="A6" s="40" t="s">
        <v>88</v>
      </c>
    </row>
    <row r="7" spans="1:1" x14ac:dyDescent="0.35">
      <c r="A7" s="40"/>
    </row>
    <row r="8" spans="1:1" x14ac:dyDescent="0.35">
      <c r="A8" s="39" t="s">
        <v>2</v>
      </c>
    </row>
    <row r="9" spans="1:1" ht="25" x14ac:dyDescent="0.35">
      <c r="A9" s="40" t="s">
        <v>89</v>
      </c>
    </row>
    <row r="10" spans="1:1" x14ac:dyDescent="0.35">
      <c r="A10" s="40" t="s">
        <v>90</v>
      </c>
    </row>
    <row r="11" spans="1:1" x14ac:dyDescent="0.35">
      <c r="A11" s="40" t="s">
        <v>91</v>
      </c>
    </row>
    <row r="12" spans="1:1" ht="25" x14ac:dyDescent="0.35">
      <c r="A12" s="40" t="s">
        <v>92</v>
      </c>
    </row>
    <row r="13" spans="1:1" x14ac:dyDescent="0.35">
      <c r="A13" s="40" t="s">
        <v>93</v>
      </c>
    </row>
    <row r="14" spans="1:1" x14ac:dyDescent="0.35">
      <c r="A14" s="40" t="s">
        <v>94</v>
      </c>
    </row>
    <row r="15" spans="1:1" x14ac:dyDescent="0.35">
      <c r="A15" s="40"/>
    </row>
    <row r="16" spans="1:1" x14ac:dyDescent="0.35">
      <c r="A16" s="39" t="s">
        <v>95</v>
      </c>
    </row>
    <row r="17" spans="1:1" x14ac:dyDescent="0.35">
      <c r="A17" s="40" t="s">
        <v>96</v>
      </c>
    </row>
    <row r="18" spans="1:1" x14ac:dyDescent="0.35">
      <c r="A18" s="40" t="s">
        <v>97</v>
      </c>
    </row>
    <row r="19" spans="1:1" x14ac:dyDescent="0.35">
      <c r="A19" s="40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</vt:lpstr>
      <vt:lpstr>WACC</vt:lpstr>
      <vt:lpstr>Sensitivity</vt:lpstr>
      <vt:lpstr>Scenarios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ramirez</cp:lastModifiedBy>
  <dcterms:created xsi:type="dcterms:W3CDTF">2026-10-14T01:57:05Z</dcterms:created>
  <dcterms:modified xsi:type="dcterms:W3CDTF">2026-10-14T01:57:10Z</dcterms:modified>
</cp:coreProperties>
</file>