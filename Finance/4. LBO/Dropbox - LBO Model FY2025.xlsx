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Projects\personal-web-portfolio\Finance\4. LBO\"/>
    </mc:Choice>
  </mc:AlternateContent>
  <xr:revisionPtr revIDLastSave="0" documentId="13_ncr:1_{9FBEE644-DB6E-4B99-AE58-690E287524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BO" sheetId="1" r:id="rId1"/>
    <sheet name="Sensitivity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B48" i="1"/>
  <c r="C47" i="1"/>
  <c r="B47" i="1"/>
  <c r="D46" i="1"/>
  <c r="D56" i="1" s="1"/>
  <c r="C45" i="1"/>
  <c r="B45" i="1"/>
  <c r="D44" i="1"/>
  <c r="D48" i="1" s="1"/>
  <c r="C43" i="1"/>
  <c r="D42" i="1"/>
  <c r="E42" i="1" s="1"/>
  <c r="B34" i="1"/>
  <c r="B27" i="1"/>
  <c r="B13" i="1"/>
  <c r="B33" i="1" s="1"/>
  <c r="B7" i="1"/>
  <c r="B9" i="1" s="1"/>
  <c r="B32" i="1" l="1"/>
  <c r="D61" i="1" s="1"/>
  <c r="D57" i="1"/>
  <c r="B26" i="1"/>
  <c r="B12" i="1"/>
  <c r="B38" i="1"/>
  <c r="H64" i="1"/>
  <c r="H50" i="1" s="1"/>
  <c r="G64" i="1"/>
  <c r="G50" i="1" s="1"/>
  <c r="F64" i="1"/>
  <c r="F50" i="1" s="1"/>
  <c r="E64" i="1"/>
  <c r="E50" i="1" s="1"/>
  <c r="D64" i="1"/>
  <c r="D50" i="1" s="1"/>
  <c r="D49" i="1"/>
  <c r="E57" i="1"/>
  <c r="E44" i="1"/>
  <c r="E46" i="1"/>
  <c r="E56" i="1" s="1"/>
  <c r="F42" i="1"/>
  <c r="D51" i="1"/>
  <c r="F44" i="1" l="1"/>
  <c r="G42" i="1"/>
  <c r="F46" i="1"/>
  <c r="F56" i="1" s="1"/>
  <c r="F57" i="1"/>
  <c r="E48" i="1"/>
  <c r="B14" i="1"/>
  <c r="B22" i="1" s="1"/>
  <c r="B28" i="1"/>
  <c r="B29" i="1" s="1"/>
  <c r="B35" i="1" s="1"/>
  <c r="D52" i="1"/>
  <c r="D53" i="1" s="1"/>
  <c r="D55" i="1" s="1"/>
  <c r="D59" i="1" s="1"/>
  <c r="B76" i="1" l="1"/>
  <c r="B36" i="1"/>
  <c r="B37" i="1" s="1"/>
  <c r="D62" i="1"/>
  <c r="D63" i="1" s="1"/>
  <c r="A9" i="2"/>
  <c r="A7" i="2"/>
  <c r="A5" i="2"/>
  <c r="B72" i="1"/>
  <c r="A8" i="2"/>
  <c r="A6" i="2"/>
  <c r="H42" i="1"/>
  <c r="G57" i="1"/>
  <c r="G44" i="1"/>
  <c r="G46" i="1"/>
  <c r="G56" i="1" s="1"/>
  <c r="F48" i="1"/>
  <c r="G48" i="1" l="1"/>
  <c r="H46" i="1"/>
  <c r="H56" i="1" s="1"/>
  <c r="H57" i="1"/>
  <c r="H44" i="1"/>
  <c r="E61" i="1"/>
  <c r="D66" i="1"/>
  <c r="D65" i="1"/>
  <c r="D67" i="1" l="1"/>
  <c r="D68" i="1" s="1"/>
  <c r="E49" i="1"/>
  <c r="E51" i="1" s="1"/>
  <c r="H48" i="1"/>
  <c r="B71" i="1"/>
  <c r="B73" i="1" s="1"/>
  <c r="E53" i="1" l="1"/>
  <c r="E55" i="1" s="1"/>
  <c r="E59" i="1" s="1"/>
  <c r="E52" i="1"/>
  <c r="E62" i="1" l="1"/>
  <c r="E63" i="1" s="1"/>
  <c r="E65" i="1" l="1"/>
  <c r="E66" i="1"/>
  <c r="E67" i="1" s="1"/>
  <c r="E68" i="1" s="1"/>
  <c r="F61" i="1"/>
  <c r="F49" i="1" l="1"/>
  <c r="F51" i="1" s="1"/>
  <c r="F52" i="1" l="1"/>
  <c r="F53" i="1" s="1"/>
  <c r="F55" i="1" s="1"/>
  <c r="F59" i="1" s="1"/>
  <c r="F62" i="1" l="1"/>
  <c r="F63" i="1" s="1"/>
  <c r="F65" i="1" l="1"/>
  <c r="F66" i="1"/>
  <c r="F67" i="1" s="1"/>
  <c r="G61" i="1"/>
  <c r="F68" i="1" l="1"/>
  <c r="B6" i="2"/>
  <c r="B8" i="2"/>
  <c r="B5" i="2"/>
  <c r="B7" i="2"/>
  <c r="B9" i="2"/>
  <c r="G49" i="1"/>
  <c r="G51" i="1" s="1"/>
  <c r="G52" i="1" l="1"/>
  <c r="G53" i="1" s="1"/>
  <c r="G55" i="1" s="1"/>
  <c r="G59" i="1" s="1"/>
  <c r="G62" i="1" l="1"/>
  <c r="G63" i="1" s="1"/>
  <c r="G65" i="1" l="1"/>
  <c r="G66" i="1"/>
  <c r="G67" i="1" s="1"/>
  <c r="H61" i="1"/>
  <c r="H49" i="1" l="1"/>
  <c r="H51" i="1" s="1"/>
  <c r="G68" i="1"/>
  <c r="C8" i="2"/>
  <c r="C6" i="2"/>
  <c r="C9" i="2"/>
  <c r="C5" i="2"/>
  <c r="C7" i="2"/>
  <c r="H52" i="1" l="1"/>
  <c r="H53" i="1" s="1"/>
  <c r="H55" i="1" s="1"/>
  <c r="H59" i="1" s="1"/>
  <c r="H62" i="1" l="1"/>
  <c r="H63" i="1" s="1"/>
  <c r="H65" i="1"/>
  <c r="H66" i="1" l="1"/>
  <c r="H67" i="1" s="1"/>
  <c r="B79" i="1"/>
  <c r="B74" i="1" l="1"/>
  <c r="B75" i="1" s="1"/>
  <c r="B77" i="1" s="1"/>
  <c r="B78" i="1" s="1"/>
  <c r="H68" i="1"/>
  <c r="D6" i="2"/>
  <c r="D9" i="2"/>
  <c r="D5" i="2"/>
  <c r="D8" i="2"/>
  <c r="D7" i="2"/>
</calcChain>
</file>

<file path=xl/sharedStrings.xml><?xml version="1.0" encoding="utf-8"?>
<sst xmlns="http://schemas.openxmlformats.org/spreadsheetml/2006/main" count="114" uniqueCount="97">
  <si>
    <t>Leveraged buyout model: Dropbox</t>
  </si>
  <si>
    <t>Hypothetical transaction at 31 December 2025. USD millions, except per-share data. Blue figures are inputs; black figures are formulas.</t>
  </si>
  <si>
    <t>Transaction assumptions</t>
  </si>
  <si>
    <t>Share price, 31 Dec 2025 (USD)</t>
  </si>
  <si>
    <t>Yahoo Finance closing price</t>
  </si>
  <si>
    <t>Acquisition premium</t>
  </si>
  <si>
    <t>Assumption</t>
  </si>
  <si>
    <t>Offer price per share (USD)</t>
  </si>
  <si>
    <t>Diluted shares (millions)</t>
  </si>
  <si>
    <t>Form 10-K, weighted average for 2025</t>
  </si>
  <si>
    <t>Equity purchase price</t>
  </si>
  <si>
    <t>Existing debt, refinanced</t>
  </si>
  <si>
    <t>Form 10-K: convertible notes and credit facility; excludes leases</t>
  </si>
  <si>
    <t>Existing cash and short-term investments</t>
  </si>
  <si>
    <t>Form 10-K</t>
  </si>
  <si>
    <t>Enterprise value</t>
  </si>
  <si>
    <t>EBITDA, 2025</t>
  </si>
  <si>
    <t>Entry EV / EBITDA</t>
  </si>
  <si>
    <t>Transaction fees, % of enterprise value</t>
  </si>
  <si>
    <t>Minimum cash kept in the company</t>
  </si>
  <si>
    <t>Term loan, x EBITDA</t>
  </si>
  <si>
    <t>Term loan interest rate</t>
  </si>
  <si>
    <t>Senior notes, x EBITDA</t>
  </si>
  <si>
    <t>Senior notes interest rate</t>
  </si>
  <si>
    <t>Tax rate</t>
  </si>
  <si>
    <t>US federal statutory rate</t>
  </si>
  <si>
    <t>Exit EV / EBITDA</t>
  </si>
  <si>
    <t>Set equal to the entry multiple</t>
  </si>
  <si>
    <t>Sources and uses</t>
  </si>
  <si>
    <t>Uses</t>
  </si>
  <si>
    <t>Purchase of equity</t>
  </si>
  <si>
    <t>Refinancing of existing debt</t>
  </si>
  <si>
    <t>Transaction fees</t>
  </si>
  <si>
    <t>Total uses</t>
  </si>
  <si>
    <t>Sources</t>
  </si>
  <si>
    <t>Term loan</t>
  </si>
  <si>
    <t>Senior notes</t>
  </si>
  <si>
    <t>Cash from the company's balance sheet</t>
  </si>
  <si>
    <t>Sponsor equity</t>
  </si>
  <si>
    <t>Total sources</t>
  </si>
  <si>
    <t>Sponsor equity, % of total sources</t>
  </si>
  <si>
    <t>Total debt / EBITDA at entry</t>
  </si>
  <si>
    <t>Historical</t>
  </si>
  <si>
    <t>Projected</t>
  </si>
  <si>
    <t>Fiscal year ended 31 December</t>
  </si>
  <si>
    <t>Revenue</t>
  </si>
  <si>
    <t>% growth</t>
  </si>
  <si>
    <t>EBITDA</t>
  </si>
  <si>
    <t>% of sales</t>
  </si>
  <si>
    <t>D&amp;A</t>
  </si>
  <si>
    <t>EBIT</t>
  </si>
  <si>
    <t>Interest: term loan</t>
  </si>
  <si>
    <t>Interest: senior notes</t>
  </si>
  <si>
    <t>Pre-tax income</t>
  </si>
  <si>
    <t>Taxes</t>
  </si>
  <si>
    <t>Net income</t>
  </si>
  <si>
    <t>Cash flow</t>
  </si>
  <si>
    <t>Plus: D&amp;A</t>
  </si>
  <si>
    <t>Less: capital expenditures</t>
  </si>
  <si>
    <t>Free cash flow available for debt repayment</t>
  </si>
  <si>
    <t>Debt schedule</t>
  </si>
  <si>
    <t>Term loan: beginning balance</t>
  </si>
  <si>
    <t>Repayment (cash sweep)</t>
  </si>
  <si>
    <t>Term loan: ending balance</t>
  </si>
  <si>
    <t>Cash</t>
  </si>
  <si>
    <t>Total debt</t>
  </si>
  <si>
    <t>Net debt</t>
  </si>
  <si>
    <t>Net debt / EBITDA</t>
  </si>
  <si>
    <t>Returns: exit at the end of 2030</t>
  </si>
  <si>
    <t>Exit EBITDA, 2030</t>
  </si>
  <si>
    <t>Exit enterprise value</t>
  </si>
  <si>
    <t>Less: net debt at exit</t>
  </si>
  <si>
    <t>Exit equity value</t>
  </si>
  <si>
    <t>Sponsor equity invested</t>
  </si>
  <si>
    <t>Multiple of invested capital (MOIC)</t>
  </si>
  <si>
    <t>Internal rate of return (IRR)</t>
  </si>
  <si>
    <t>Debt repaid over the period</t>
  </si>
  <si>
    <t>Sensitivity: sponsor IRR to exit multiple and exit year</t>
  </si>
  <si>
    <t>Rows: exit EV / EBITDA. Columns: year of exit.</t>
  </si>
  <si>
    <t>Exit multiple \ Exit year</t>
  </si>
  <si>
    <t>Notes</t>
  </si>
  <si>
    <t>Method</t>
  </si>
  <si>
    <t>A financial sponsor buys all the shares at a premium, refinances the existing debt and funds the purchase with new debt and its own equity.</t>
  </si>
  <si>
    <t>During the holding period, all free cash flow repays the term loan (cash sweep). Interest is calculated on the balance at the beginning of each year.</t>
  </si>
  <si>
    <t>At exit, the company is sold at an EV / EBITDA multiple. Exit equity value = exit enterprise value - net debt.</t>
  </si>
  <si>
    <t>MOIC = exit equity value / sponsor equity invested. IRR = MOIC ^ (1 / years) - 1, since there are no interim dividends.</t>
  </si>
  <si>
    <t>Assumptions</t>
  </si>
  <si>
    <t>This is a hypothetical transaction built for illustration. It does not describe any real or proposed deal.</t>
  </si>
  <si>
    <t>The premium, leverage, interest rates, fees, revenue growth, EBITDA margins and capital expenditures are the author's assumptions.</t>
  </si>
  <si>
    <t>EBITDA is operating income plus depreciation and amortization of intangible assets, after stock-based compensation expense.</t>
  </si>
  <si>
    <t>Capital expenditures of 6% of sales are meant to cover purchases of equipment and payments on finance leases, which Dropbox uses for its data-center equipment.</t>
  </si>
  <si>
    <t>Changes in net working capital are assumed to be zero. Lease liabilities are not treated as debt.</t>
  </si>
  <si>
    <t>Diluted shares are the weighted average for 2025; share repurchases during the year mean the year-end count is lower.</t>
  </si>
  <si>
    <t>This model illustrates the method. It is not investment advice.</t>
  </si>
  <si>
    <t>Financials: U.S. SEC EDGAR XBRL company facts (data.sec.gov), Dropbox Form 10-K for fiscal year 2025.</t>
  </si>
  <si>
    <t>Share price: Yahoo Finance closing price for 31 December 2025.</t>
  </si>
  <si>
    <t>Retrieved on 2026-10-13.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</si>
</sst>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\(0.0%\)"/>
    <numFmt numFmtId="165" formatCode="#,##0.0;\(#,##0.0\);&quot;-&quot;"/>
    <numFmt numFmtId="166" formatCode="0.0&quot;x&quot;"/>
    <numFmt numFmtId="167" formatCode="0.00&quot;x&quot;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1F293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 wrapText="1"/>
    </xf>
    <xf numFmtId="4" fontId="5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165" fontId="5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166" fontId="5" fillId="0" borderId="0" xfId="0" applyNumberFormat="1" applyFont="1" applyAlignment="1">
      <alignment horizontal="right" vertical="center" wrapText="1"/>
    </xf>
    <xf numFmtId="166" fontId="4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0" fontId="0" fillId="3" borderId="0" xfId="0" applyFill="1"/>
    <xf numFmtId="0" fontId="6" fillId="3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1" fontId="6" fillId="3" borderId="0" xfId="0" applyNumberFormat="1" applyFont="1" applyFill="1" applyAlignment="1">
      <alignment horizontal="right" vertical="center" wrapText="1"/>
    </xf>
    <xf numFmtId="0" fontId="3" fillId="0" borderId="0" xfId="0" applyFont="1"/>
    <xf numFmtId="165" fontId="3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indent="1"/>
    </xf>
    <xf numFmtId="164" fontId="2" fillId="0" borderId="0" xfId="0" applyNumberFormat="1" applyFont="1" applyAlignment="1">
      <alignment horizontal="right" vertical="center" wrapText="1"/>
    </xf>
    <xf numFmtId="0" fontId="4" fillId="0" borderId="0" xfId="0" applyFont="1"/>
    <xf numFmtId="0" fontId="3" fillId="0" borderId="1" xfId="0" applyFont="1" applyBorder="1"/>
    <xf numFmtId="166" fontId="2" fillId="0" borderId="0" xfId="0" applyNumberFormat="1" applyFont="1" applyAlignment="1">
      <alignment horizontal="right" vertical="center" wrapText="1"/>
    </xf>
    <xf numFmtId="167" fontId="3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6" fontId="3" fillId="0" borderId="0" xfId="0" applyNumberFormat="1" applyFont="1" applyAlignment="1">
      <alignment horizontal="left" vertical="center" wrapText="1"/>
    </xf>
    <xf numFmtId="164" fontId="3" fillId="4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showGridLines="0" tabSelected="1" workbookViewId="0"/>
  </sheetViews>
  <sheetFormatPr defaultRowHeight="14.5" x14ac:dyDescent="0.35"/>
  <cols>
    <col min="1" max="1" width="48" customWidth="1"/>
    <col min="2" max="8" width="13" customWidth="1"/>
  </cols>
  <sheetData>
    <row r="1" spans="1:8" ht="18" x14ac:dyDescent="0.35">
      <c r="A1" s="1" t="s">
        <v>0</v>
      </c>
    </row>
    <row r="2" spans="1:8" ht="36" x14ac:dyDescent="0.35">
      <c r="A2" s="2" t="s">
        <v>1</v>
      </c>
    </row>
    <row r="4" spans="1:8" x14ac:dyDescent="0.35">
      <c r="A4" s="3" t="s">
        <v>2</v>
      </c>
      <c r="B4" s="4"/>
      <c r="C4" s="4"/>
      <c r="D4" s="4"/>
      <c r="E4" s="4"/>
      <c r="F4" s="4"/>
      <c r="G4" s="4"/>
      <c r="H4" s="4"/>
    </row>
    <row r="5" spans="1:8" ht="24" x14ac:dyDescent="0.35">
      <c r="A5" s="5" t="s">
        <v>3</v>
      </c>
      <c r="B5" s="6">
        <v>27.79999923706055</v>
      </c>
      <c r="C5" s="2" t="s">
        <v>4</v>
      </c>
    </row>
    <row r="6" spans="1:8" x14ac:dyDescent="0.35">
      <c r="A6" s="5" t="s">
        <v>5</v>
      </c>
      <c r="B6" s="7">
        <v>0.3</v>
      </c>
      <c r="C6" s="2" t="s">
        <v>6</v>
      </c>
    </row>
    <row r="7" spans="1:8" x14ac:dyDescent="0.35">
      <c r="A7" s="5" t="s">
        <v>7</v>
      </c>
      <c r="B7" s="8">
        <f>B5*(1+B6)</f>
        <v>36.139999008178719</v>
      </c>
    </row>
    <row r="8" spans="1:8" ht="48" x14ac:dyDescent="0.35">
      <c r="A8" s="5" t="s">
        <v>8</v>
      </c>
      <c r="B8" s="9">
        <v>272.8</v>
      </c>
      <c r="C8" s="2" t="s">
        <v>9</v>
      </c>
    </row>
    <row r="9" spans="1:8" x14ac:dyDescent="0.35">
      <c r="A9" s="10" t="s">
        <v>10</v>
      </c>
      <c r="B9" s="11">
        <f>B7*B8</f>
        <v>9858.9917294311545</v>
      </c>
    </row>
    <row r="10" spans="1:8" ht="60" x14ac:dyDescent="0.35">
      <c r="A10" s="5" t="s">
        <v>11</v>
      </c>
      <c r="B10" s="9">
        <v>2819</v>
      </c>
      <c r="C10" s="2" t="s">
        <v>12</v>
      </c>
    </row>
    <row r="11" spans="1:8" x14ac:dyDescent="0.35">
      <c r="A11" s="5" t="s">
        <v>13</v>
      </c>
      <c r="B11" s="9">
        <v>1038.2</v>
      </c>
      <c r="C11" s="2" t="s">
        <v>14</v>
      </c>
    </row>
    <row r="12" spans="1:8" x14ac:dyDescent="0.35">
      <c r="A12" s="10" t="s">
        <v>15</v>
      </c>
      <c r="B12" s="11">
        <f>B9+B10-B11</f>
        <v>11639.791729431154</v>
      </c>
    </row>
    <row r="13" spans="1:8" x14ac:dyDescent="0.35">
      <c r="A13" s="5" t="s">
        <v>16</v>
      </c>
      <c r="B13" s="12">
        <f>C44</f>
        <v>846.6</v>
      </c>
    </row>
    <row r="14" spans="1:8" x14ac:dyDescent="0.35">
      <c r="A14" s="10" t="s">
        <v>17</v>
      </c>
      <c r="B14" s="13">
        <f>B12/B13</f>
        <v>13.748868095241145</v>
      </c>
    </row>
    <row r="15" spans="1:8" x14ac:dyDescent="0.35">
      <c r="A15" s="5" t="s">
        <v>18</v>
      </c>
      <c r="B15" s="7">
        <v>0.02</v>
      </c>
      <c r="C15" s="2" t="s">
        <v>6</v>
      </c>
    </row>
    <row r="16" spans="1:8" x14ac:dyDescent="0.35">
      <c r="A16" s="5" t="s">
        <v>19</v>
      </c>
      <c r="B16" s="9">
        <v>200</v>
      </c>
      <c r="C16" s="2" t="s">
        <v>6</v>
      </c>
    </row>
    <row r="17" spans="1:8" x14ac:dyDescent="0.35">
      <c r="A17" s="5" t="s">
        <v>20</v>
      </c>
      <c r="B17" s="14">
        <v>4.5</v>
      </c>
      <c r="C17" s="2" t="s">
        <v>6</v>
      </c>
    </row>
    <row r="18" spans="1:8" x14ac:dyDescent="0.35">
      <c r="A18" s="5" t="s">
        <v>21</v>
      </c>
      <c r="B18" s="7">
        <v>8.5000000000000006E-2</v>
      </c>
      <c r="C18" s="2" t="s">
        <v>6</v>
      </c>
    </row>
    <row r="19" spans="1:8" x14ac:dyDescent="0.35">
      <c r="A19" s="5" t="s">
        <v>22</v>
      </c>
      <c r="B19" s="14">
        <v>1.5</v>
      </c>
      <c r="C19" s="2" t="s">
        <v>6</v>
      </c>
    </row>
    <row r="20" spans="1:8" x14ac:dyDescent="0.35">
      <c r="A20" s="5" t="s">
        <v>23</v>
      </c>
      <c r="B20" s="7">
        <v>0.105</v>
      </c>
      <c r="C20" s="2" t="s">
        <v>6</v>
      </c>
    </row>
    <row r="21" spans="1:8" ht="24" x14ac:dyDescent="0.35">
      <c r="A21" s="5" t="s">
        <v>24</v>
      </c>
      <c r="B21" s="7">
        <v>0.21</v>
      </c>
      <c r="C21" s="2" t="s">
        <v>25</v>
      </c>
    </row>
    <row r="22" spans="1:8" ht="24" x14ac:dyDescent="0.35">
      <c r="A22" s="5" t="s">
        <v>26</v>
      </c>
      <c r="B22" s="15">
        <f>B14</f>
        <v>13.748868095241145</v>
      </c>
      <c r="C22" s="2" t="s">
        <v>27</v>
      </c>
    </row>
    <row r="24" spans="1:8" x14ac:dyDescent="0.35">
      <c r="A24" s="3" t="s">
        <v>28</v>
      </c>
      <c r="B24" s="4"/>
      <c r="C24" s="4"/>
      <c r="D24" s="4"/>
      <c r="E24" s="4"/>
      <c r="F24" s="4"/>
      <c r="G24" s="4"/>
      <c r="H24" s="4"/>
    </row>
    <row r="25" spans="1:8" x14ac:dyDescent="0.35">
      <c r="A25" s="2" t="s">
        <v>29</v>
      </c>
    </row>
    <row r="26" spans="1:8" x14ac:dyDescent="0.35">
      <c r="A26" s="5" t="s">
        <v>30</v>
      </c>
      <c r="B26" s="12">
        <f>B9</f>
        <v>9858.9917294311545</v>
      </c>
    </row>
    <row r="27" spans="1:8" x14ac:dyDescent="0.35">
      <c r="A27" s="5" t="s">
        <v>31</v>
      </c>
      <c r="B27" s="12">
        <f>B10</f>
        <v>2819</v>
      </c>
    </row>
    <row r="28" spans="1:8" x14ac:dyDescent="0.35">
      <c r="A28" s="5" t="s">
        <v>32</v>
      </c>
      <c r="B28" s="12">
        <f>B12*B15</f>
        <v>232.79583458862308</v>
      </c>
    </row>
    <row r="29" spans="1:8" x14ac:dyDescent="0.35">
      <c r="A29" s="10" t="s">
        <v>33</v>
      </c>
      <c r="B29" s="11">
        <f>SUM(B26:B28)</f>
        <v>12910.787564019778</v>
      </c>
    </row>
    <row r="31" spans="1:8" x14ac:dyDescent="0.35">
      <c r="A31" s="2" t="s">
        <v>34</v>
      </c>
    </row>
    <row r="32" spans="1:8" x14ac:dyDescent="0.35">
      <c r="A32" s="5" t="s">
        <v>35</v>
      </c>
      <c r="B32" s="12">
        <f>B17*B13</f>
        <v>3809.7000000000003</v>
      </c>
    </row>
    <row r="33" spans="1:8" x14ac:dyDescent="0.35">
      <c r="A33" s="5" t="s">
        <v>36</v>
      </c>
      <c r="B33" s="12">
        <f>B19*B13</f>
        <v>1269.9000000000001</v>
      </c>
    </row>
    <row r="34" spans="1:8" x14ac:dyDescent="0.35">
      <c r="A34" s="5" t="s">
        <v>37</v>
      </c>
      <c r="B34" s="12">
        <f>B11-B16</f>
        <v>838.2</v>
      </c>
    </row>
    <row r="35" spans="1:8" x14ac:dyDescent="0.35">
      <c r="A35" s="5" t="s">
        <v>38</v>
      </c>
      <c r="B35" s="12">
        <f>B29-B32-B33-B34</f>
        <v>6992.9875640197779</v>
      </c>
    </row>
    <row r="36" spans="1:8" x14ac:dyDescent="0.35">
      <c r="A36" s="10" t="s">
        <v>39</v>
      </c>
      <c r="B36" s="11">
        <f>SUM(B32:B35)</f>
        <v>12910.787564019778</v>
      </c>
    </row>
    <row r="37" spans="1:8" x14ac:dyDescent="0.35">
      <c r="A37" s="5" t="s">
        <v>40</v>
      </c>
      <c r="B37" s="16">
        <f>B35/B36</f>
        <v>0.54163911607592963</v>
      </c>
    </row>
    <row r="38" spans="1:8" x14ac:dyDescent="0.35">
      <c r="A38" s="5" t="s">
        <v>41</v>
      </c>
      <c r="B38" s="15">
        <f>(B32+B33)/B13</f>
        <v>6</v>
      </c>
    </row>
    <row r="40" spans="1:8" x14ac:dyDescent="0.35">
      <c r="A40" s="17"/>
      <c r="B40" s="18" t="s">
        <v>42</v>
      </c>
      <c r="C40" s="18" t="s">
        <v>42</v>
      </c>
      <c r="D40" s="18" t="s">
        <v>43</v>
      </c>
      <c r="E40" s="18" t="s">
        <v>43</v>
      </c>
      <c r="F40" s="18" t="s">
        <v>43</v>
      </c>
      <c r="G40" s="18" t="s">
        <v>43</v>
      </c>
      <c r="H40" s="18" t="s">
        <v>43</v>
      </c>
    </row>
    <row r="41" spans="1:8" x14ac:dyDescent="0.35">
      <c r="A41" s="19" t="s">
        <v>44</v>
      </c>
      <c r="B41" s="20">
        <v>2024</v>
      </c>
      <c r="C41" s="20">
        <v>2025</v>
      </c>
      <c r="D41" s="20">
        <v>2026</v>
      </c>
      <c r="E41" s="20">
        <v>2027</v>
      </c>
      <c r="F41" s="20">
        <v>2028</v>
      </c>
      <c r="G41" s="20">
        <v>2029</v>
      </c>
      <c r="H41" s="20">
        <v>2030</v>
      </c>
    </row>
    <row r="42" spans="1:8" x14ac:dyDescent="0.35">
      <c r="A42" s="21" t="s">
        <v>45</v>
      </c>
      <c r="B42" s="9">
        <v>2548.1999999999998</v>
      </c>
      <c r="C42" s="9">
        <v>2521</v>
      </c>
      <c r="D42" s="22">
        <f>C42*(1+D43)</f>
        <v>2521</v>
      </c>
      <c r="E42" s="22">
        <f>D42*(1+E43)</f>
        <v>2546.21</v>
      </c>
      <c r="F42" s="22">
        <f>E42*(1+F43)</f>
        <v>2571.6721000000002</v>
      </c>
      <c r="G42" s="22">
        <f>F42*(1+G43)</f>
        <v>2623.1055420000002</v>
      </c>
      <c r="H42" s="22">
        <f>G42*(1+H43)</f>
        <v>2675.5676528400004</v>
      </c>
    </row>
    <row r="43" spans="1:8" x14ac:dyDescent="0.35">
      <c r="A43" s="23" t="s">
        <v>46</v>
      </c>
      <c r="C43" s="24">
        <f>C42/B42-1</f>
        <v>-1.0674201397064542E-2</v>
      </c>
      <c r="D43" s="7">
        <v>0</v>
      </c>
      <c r="E43" s="7">
        <v>0.01</v>
      </c>
      <c r="F43" s="7">
        <v>0.01</v>
      </c>
      <c r="G43" s="7">
        <v>0.02</v>
      </c>
      <c r="H43" s="7">
        <v>0.02</v>
      </c>
    </row>
    <row r="44" spans="1:8" x14ac:dyDescent="0.35">
      <c r="A44" s="21" t="s">
        <v>47</v>
      </c>
      <c r="B44" s="9">
        <v>623.29999999999995</v>
      </c>
      <c r="C44" s="9">
        <v>846.6</v>
      </c>
      <c r="D44" s="22">
        <f>D42*D45</f>
        <v>907.56</v>
      </c>
      <c r="E44" s="22">
        <f>E42*E45</f>
        <v>967.5598</v>
      </c>
      <c r="F44" s="22">
        <f>F42*F45</f>
        <v>1028.66884</v>
      </c>
      <c r="G44" s="22">
        <f>G42*G45</f>
        <v>1075.4732722200001</v>
      </c>
      <c r="H44" s="22">
        <f>H42*H45</f>
        <v>1123.7384141928001</v>
      </c>
    </row>
    <row r="45" spans="1:8" x14ac:dyDescent="0.35">
      <c r="A45" s="23" t="s">
        <v>48</v>
      </c>
      <c r="B45" s="24">
        <f>B44/B42</f>
        <v>0.24460403422023388</v>
      </c>
      <c r="C45" s="24">
        <f>C44/C42</f>
        <v>0.33581911939706466</v>
      </c>
      <c r="D45" s="7">
        <v>0.36</v>
      </c>
      <c r="E45" s="7">
        <v>0.38</v>
      </c>
      <c r="F45" s="7">
        <v>0.4</v>
      </c>
      <c r="G45" s="7">
        <v>0.41</v>
      </c>
      <c r="H45" s="7">
        <v>0.42</v>
      </c>
    </row>
    <row r="46" spans="1:8" x14ac:dyDescent="0.35">
      <c r="A46" s="25" t="s">
        <v>49</v>
      </c>
      <c r="B46" s="9">
        <v>137.1</v>
      </c>
      <c r="C46" s="9">
        <v>157.5</v>
      </c>
      <c r="D46" s="12">
        <f>D42*D47</f>
        <v>151.26</v>
      </c>
      <c r="E46" s="12">
        <f>E42*E47</f>
        <v>152.77259999999998</v>
      </c>
      <c r="F46" s="12">
        <f>F42*F47</f>
        <v>154.30032600000001</v>
      </c>
      <c r="G46" s="12">
        <f>G42*G47</f>
        <v>157.38633252</v>
      </c>
      <c r="H46" s="12">
        <f>H42*H47</f>
        <v>160.53405917040001</v>
      </c>
    </row>
    <row r="47" spans="1:8" x14ac:dyDescent="0.35">
      <c r="A47" s="23" t="s">
        <v>48</v>
      </c>
      <c r="B47" s="24">
        <f>B46/B42</f>
        <v>5.3802684247704263E-2</v>
      </c>
      <c r="C47" s="24">
        <f>C46/C42</f>
        <v>6.2475208250694171E-2</v>
      </c>
      <c r="D47" s="7">
        <v>0.06</v>
      </c>
      <c r="E47" s="7">
        <v>0.06</v>
      </c>
      <c r="F47" s="7">
        <v>0.06</v>
      </c>
      <c r="G47" s="7">
        <v>0.06</v>
      </c>
      <c r="H47" s="7">
        <v>0.06</v>
      </c>
    </row>
    <row r="48" spans="1:8" x14ac:dyDescent="0.35">
      <c r="A48" s="21" t="s">
        <v>50</v>
      </c>
      <c r="B48" s="22">
        <f t="shared" ref="B48:H48" si="0">B44-B46</f>
        <v>486.19999999999993</v>
      </c>
      <c r="C48" s="22">
        <f t="shared" si="0"/>
        <v>689.1</v>
      </c>
      <c r="D48" s="22">
        <f t="shared" si="0"/>
        <v>756.3</v>
      </c>
      <c r="E48" s="22">
        <f t="shared" si="0"/>
        <v>814.78719999999998</v>
      </c>
      <c r="F48" s="22">
        <f t="shared" si="0"/>
        <v>874.368514</v>
      </c>
      <c r="G48" s="22">
        <f t="shared" si="0"/>
        <v>918.08693970000013</v>
      </c>
      <c r="H48" s="22">
        <f t="shared" si="0"/>
        <v>963.20435502240002</v>
      </c>
    </row>
    <row r="49" spans="1:8" x14ac:dyDescent="0.35">
      <c r="A49" s="25" t="s">
        <v>51</v>
      </c>
      <c r="D49" s="12">
        <f>D61*$B$18</f>
        <v>323.82450000000006</v>
      </c>
      <c r="E49" s="12">
        <f>E61*$B$18</f>
        <v>303.73751760000005</v>
      </c>
      <c r="F49" s="12">
        <f>F61*$B$18</f>
        <v>278.37427885184007</v>
      </c>
      <c r="G49" s="12">
        <f>G61*$B$18</f>
        <v>247.30701338664116</v>
      </c>
      <c r="H49" s="12">
        <f>H61*$B$18</f>
        <v>211.21788875969909</v>
      </c>
    </row>
    <row r="50" spans="1:8" x14ac:dyDescent="0.35">
      <c r="A50" s="25" t="s">
        <v>52</v>
      </c>
      <c r="D50" s="12">
        <f>D64*$B$20</f>
        <v>133.33950000000002</v>
      </c>
      <c r="E50" s="12">
        <f>E64*$B$20</f>
        <v>133.33950000000002</v>
      </c>
      <c r="F50" s="12">
        <f>F64*$B$20</f>
        <v>133.33950000000002</v>
      </c>
      <c r="G50" s="12">
        <f>G64*$B$20</f>
        <v>133.33950000000002</v>
      </c>
      <c r="H50" s="12">
        <f>H64*$B$20</f>
        <v>133.33950000000002</v>
      </c>
    </row>
    <row r="51" spans="1:8" x14ac:dyDescent="0.35">
      <c r="A51" s="25" t="s">
        <v>53</v>
      </c>
      <c r="D51" s="12">
        <f>D48-D49-D50</f>
        <v>299.13599999999985</v>
      </c>
      <c r="E51" s="12">
        <f>E48-E49-E50</f>
        <v>377.71018239999989</v>
      </c>
      <c r="F51" s="12">
        <f>F48-F49-F50</f>
        <v>462.65473514815994</v>
      </c>
      <c r="G51" s="12">
        <f>G48-G49-G50</f>
        <v>537.4404263133589</v>
      </c>
      <c r="H51" s="12">
        <f>H48-H49-H50</f>
        <v>618.64696626270086</v>
      </c>
    </row>
    <row r="52" spans="1:8" x14ac:dyDescent="0.35">
      <c r="A52" s="25" t="s">
        <v>54</v>
      </c>
      <c r="D52" s="12">
        <f>MAX(0,D51*$B$21)</f>
        <v>62.81855999999997</v>
      </c>
      <c r="E52" s="12">
        <f>MAX(0,E51*$B$21)</f>
        <v>79.319138303999978</v>
      </c>
      <c r="F52" s="12">
        <f>MAX(0,F51*$B$21)</f>
        <v>97.15749438111358</v>
      </c>
      <c r="G52" s="12">
        <f>MAX(0,G51*$B$21)</f>
        <v>112.86248952580536</v>
      </c>
      <c r="H52" s="12">
        <f>MAX(0,H51*$B$21)</f>
        <v>129.91586291516717</v>
      </c>
    </row>
    <row r="53" spans="1:8" x14ac:dyDescent="0.35">
      <c r="A53" s="21" t="s">
        <v>55</v>
      </c>
      <c r="D53" s="22">
        <f>D51-D52</f>
        <v>236.31743999999989</v>
      </c>
      <c r="E53" s="22">
        <f>E51-E52</f>
        <v>298.39104409599992</v>
      </c>
      <c r="F53" s="22">
        <f>F51-F52</f>
        <v>365.49724076704638</v>
      </c>
      <c r="G53" s="22">
        <f>G51-G52</f>
        <v>424.57793678755354</v>
      </c>
      <c r="H53" s="22">
        <f>H51-H52</f>
        <v>488.73110334753369</v>
      </c>
    </row>
    <row r="54" spans="1:8" x14ac:dyDescent="0.35">
      <c r="A54" s="3" t="s">
        <v>56</v>
      </c>
      <c r="B54" s="4"/>
      <c r="C54" s="4"/>
      <c r="D54" s="4"/>
      <c r="E54" s="4"/>
      <c r="F54" s="4"/>
      <c r="G54" s="4"/>
      <c r="H54" s="4"/>
    </row>
    <row r="55" spans="1:8" x14ac:dyDescent="0.35">
      <c r="A55" s="25" t="s">
        <v>55</v>
      </c>
      <c r="D55" s="12">
        <f>D53</f>
        <v>236.31743999999989</v>
      </c>
      <c r="E55" s="12">
        <f>E53</f>
        <v>298.39104409599992</v>
      </c>
      <c r="F55" s="12">
        <f>F53</f>
        <v>365.49724076704638</v>
      </c>
      <c r="G55" s="12">
        <f>G53</f>
        <v>424.57793678755354</v>
      </c>
      <c r="H55" s="12">
        <f>H53</f>
        <v>488.73110334753369</v>
      </c>
    </row>
    <row r="56" spans="1:8" x14ac:dyDescent="0.35">
      <c r="A56" s="25" t="s">
        <v>57</v>
      </c>
      <c r="D56" s="12">
        <f>D46</f>
        <v>151.26</v>
      </c>
      <c r="E56" s="12">
        <f>E46</f>
        <v>152.77259999999998</v>
      </c>
      <c r="F56" s="12">
        <f>F46</f>
        <v>154.30032600000001</v>
      </c>
      <c r="G56" s="12">
        <f>G46</f>
        <v>157.38633252</v>
      </c>
      <c r="H56" s="12">
        <f>H46</f>
        <v>160.53405917040001</v>
      </c>
    </row>
    <row r="57" spans="1:8" x14ac:dyDescent="0.35">
      <c r="A57" s="25" t="s">
        <v>58</v>
      </c>
      <c r="D57" s="12">
        <f>D42*D58</f>
        <v>151.26</v>
      </c>
      <c r="E57" s="12">
        <f>E42*E58</f>
        <v>152.77259999999998</v>
      </c>
      <c r="F57" s="12">
        <f>F42*F58</f>
        <v>154.30032600000001</v>
      </c>
      <c r="G57" s="12">
        <f>G42*G58</f>
        <v>157.38633252</v>
      </c>
      <c r="H57" s="12">
        <f>H42*H58</f>
        <v>160.53405917040001</v>
      </c>
    </row>
    <row r="58" spans="1:8" x14ac:dyDescent="0.35">
      <c r="A58" s="23" t="s">
        <v>48</v>
      </c>
      <c r="D58" s="7">
        <v>0.06</v>
      </c>
      <c r="E58" s="7">
        <v>0.06</v>
      </c>
      <c r="F58" s="7">
        <v>0.06</v>
      </c>
      <c r="G58" s="7">
        <v>0.06</v>
      </c>
      <c r="H58" s="7">
        <v>0.06</v>
      </c>
    </row>
    <row r="59" spans="1:8" x14ac:dyDescent="0.35">
      <c r="A59" s="26" t="s">
        <v>59</v>
      </c>
      <c r="D59" s="11">
        <f>D55+D56-D57</f>
        <v>236.31743999999992</v>
      </c>
      <c r="E59" s="11">
        <f>E55+E56-E57</f>
        <v>298.39104409599986</v>
      </c>
      <c r="F59" s="11">
        <f>F55+F56-F57</f>
        <v>365.49724076704638</v>
      </c>
      <c r="G59" s="11">
        <f>G55+G56-G57</f>
        <v>424.57793678755354</v>
      </c>
      <c r="H59" s="11">
        <f>H55+H56-H57</f>
        <v>488.73110334753369</v>
      </c>
    </row>
    <row r="60" spans="1:8" x14ac:dyDescent="0.35">
      <c r="A60" s="3" t="s">
        <v>60</v>
      </c>
      <c r="B60" s="4"/>
      <c r="C60" s="4"/>
      <c r="D60" s="4"/>
      <c r="E60" s="4"/>
      <c r="F60" s="4"/>
      <c r="G60" s="4"/>
      <c r="H60" s="4"/>
    </row>
    <row r="61" spans="1:8" x14ac:dyDescent="0.35">
      <c r="A61" s="25" t="s">
        <v>61</v>
      </c>
      <c r="D61" s="12">
        <f>$B$32</f>
        <v>3809.7000000000003</v>
      </c>
      <c r="E61" s="12">
        <f>D63</f>
        <v>3573.3825600000005</v>
      </c>
      <c r="F61" s="12">
        <f>E63</f>
        <v>3274.9915159040006</v>
      </c>
      <c r="G61" s="12">
        <f>F63</f>
        <v>2909.4942751369545</v>
      </c>
      <c r="H61" s="12">
        <f>G63</f>
        <v>2484.916338349401</v>
      </c>
    </row>
    <row r="62" spans="1:8" x14ac:dyDescent="0.35">
      <c r="A62" s="25" t="s">
        <v>62</v>
      </c>
      <c r="D62" s="12">
        <f>MIN(D61,MAX(0,D59))</f>
        <v>236.31743999999992</v>
      </c>
      <c r="E62" s="12">
        <f>MIN(E61,MAX(0,E59))</f>
        <v>298.39104409599986</v>
      </c>
      <c r="F62" s="12">
        <f>MIN(F61,MAX(0,F59))</f>
        <v>365.49724076704638</v>
      </c>
      <c r="G62" s="12">
        <f>MIN(G61,MAX(0,G59))</f>
        <v>424.57793678755354</v>
      </c>
      <c r="H62" s="12">
        <f>MIN(H61,MAX(0,H59))</f>
        <v>488.73110334753369</v>
      </c>
    </row>
    <row r="63" spans="1:8" x14ac:dyDescent="0.35">
      <c r="A63" s="21" t="s">
        <v>63</v>
      </c>
      <c r="D63" s="22">
        <f>D61-D62</f>
        <v>3573.3825600000005</v>
      </c>
      <c r="E63" s="22">
        <f>E61-E62</f>
        <v>3274.9915159040006</v>
      </c>
      <c r="F63" s="22">
        <f>F61-F62</f>
        <v>2909.4942751369545</v>
      </c>
      <c r="G63" s="22">
        <f>G61-G62</f>
        <v>2484.916338349401</v>
      </c>
      <c r="H63" s="22">
        <f>H61-H62</f>
        <v>1996.1852350018673</v>
      </c>
    </row>
    <row r="64" spans="1:8" x14ac:dyDescent="0.35">
      <c r="A64" s="25" t="s">
        <v>36</v>
      </c>
      <c r="D64" s="12">
        <f>$B$33</f>
        <v>1269.9000000000001</v>
      </c>
      <c r="E64" s="12">
        <f>$B$33</f>
        <v>1269.9000000000001</v>
      </c>
      <c r="F64" s="12">
        <f>$B$33</f>
        <v>1269.9000000000001</v>
      </c>
      <c r="G64" s="12">
        <f>$B$33</f>
        <v>1269.9000000000001</v>
      </c>
      <c r="H64" s="12">
        <f>$B$33</f>
        <v>1269.9000000000001</v>
      </c>
    </row>
    <row r="65" spans="1:8" x14ac:dyDescent="0.35">
      <c r="A65" s="25" t="s">
        <v>64</v>
      </c>
      <c r="D65" s="12">
        <f>$B$16+D59-D62</f>
        <v>200</v>
      </c>
      <c r="E65" s="12">
        <f>D65+E59-E62</f>
        <v>200</v>
      </c>
      <c r="F65" s="12">
        <f>E65+F59-F62</f>
        <v>200</v>
      </c>
      <c r="G65" s="12">
        <f>F65+G59-G62</f>
        <v>200</v>
      </c>
      <c r="H65" s="12">
        <f>G65+H59-H62</f>
        <v>200</v>
      </c>
    </row>
    <row r="66" spans="1:8" x14ac:dyDescent="0.35">
      <c r="A66" s="25" t="s">
        <v>65</v>
      </c>
      <c r="D66" s="12">
        <f>D63+D64</f>
        <v>4843.2825600000006</v>
      </c>
      <c r="E66" s="12">
        <f>E63+E64</f>
        <v>4544.8915159040007</v>
      </c>
      <c r="F66" s="12">
        <f>F63+F64</f>
        <v>4179.3942751369541</v>
      </c>
      <c r="G66" s="12">
        <f>G63+G64</f>
        <v>3754.8163383494011</v>
      </c>
      <c r="H66" s="12">
        <f>H63+H64</f>
        <v>3266.0852350018677</v>
      </c>
    </row>
    <row r="67" spans="1:8" x14ac:dyDescent="0.35">
      <c r="A67" s="21" t="s">
        <v>66</v>
      </c>
      <c r="D67" s="22">
        <f>D66-D65</f>
        <v>4643.2825600000006</v>
      </c>
      <c r="E67" s="22">
        <f>E66-E65</f>
        <v>4344.8915159040007</v>
      </c>
      <c r="F67" s="22">
        <f>F66-F65</f>
        <v>3979.3942751369541</v>
      </c>
      <c r="G67" s="22">
        <f>G66-G65</f>
        <v>3554.8163383494011</v>
      </c>
      <c r="H67" s="22">
        <f>H66-H65</f>
        <v>3066.0852350018677</v>
      </c>
    </row>
    <row r="68" spans="1:8" x14ac:dyDescent="0.35">
      <c r="A68" s="25" t="s">
        <v>67</v>
      </c>
      <c r="D68" s="27">
        <f>D67/D44</f>
        <v>5.1162265414958803</v>
      </c>
      <c r="E68" s="27">
        <f>E67/E44</f>
        <v>4.4905663876320627</v>
      </c>
      <c r="F68" s="27">
        <f>F67/F44</f>
        <v>3.868489177855289</v>
      </c>
      <c r="G68" s="27">
        <f>G67/G44</f>
        <v>3.3053507048218149</v>
      </c>
      <c r="H68" s="27">
        <f>H67/H44</f>
        <v>2.7284688289349686</v>
      </c>
    </row>
    <row r="70" spans="1:8" x14ac:dyDescent="0.35">
      <c r="A70" s="3" t="s">
        <v>68</v>
      </c>
      <c r="B70" s="4"/>
      <c r="C70" s="4"/>
      <c r="D70" s="4"/>
      <c r="E70" s="4"/>
      <c r="F70" s="4"/>
      <c r="G70" s="4"/>
      <c r="H70" s="4"/>
    </row>
    <row r="71" spans="1:8" x14ac:dyDescent="0.35">
      <c r="A71" s="5" t="s">
        <v>69</v>
      </c>
      <c r="B71" s="12">
        <f>H44</f>
        <v>1123.7384141928001</v>
      </c>
    </row>
    <row r="72" spans="1:8" x14ac:dyDescent="0.35">
      <c r="A72" s="5" t="s">
        <v>26</v>
      </c>
      <c r="B72" s="15">
        <f>B22</f>
        <v>13.748868095241145</v>
      </c>
    </row>
    <row r="73" spans="1:8" x14ac:dyDescent="0.35">
      <c r="A73" s="10" t="s">
        <v>70</v>
      </c>
      <c r="B73" s="11">
        <f>B71*B72</f>
        <v>15450.131230292267</v>
      </c>
    </row>
    <row r="74" spans="1:8" x14ac:dyDescent="0.35">
      <c r="A74" s="5" t="s">
        <v>71</v>
      </c>
      <c r="B74" s="12">
        <f>H67</f>
        <v>3066.0852350018677</v>
      </c>
    </row>
    <row r="75" spans="1:8" x14ac:dyDescent="0.35">
      <c r="A75" s="10" t="s">
        <v>72</v>
      </c>
      <c r="B75" s="11">
        <f>B73-B74</f>
        <v>12384.045995290398</v>
      </c>
    </row>
    <row r="76" spans="1:8" x14ac:dyDescent="0.35">
      <c r="A76" s="5" t="s">
        <v>73</v>
      </c>
      <c r="B76" s="12">
        <f>B35</f>
        <v>6992.9875640197779</v>
      </c>
    </row>
    <row r="77" spans="1:8" x14ac:dyDescent="0.35">
      <c r="A77" s="10" t="s">
        <v>74</v>
      </c>
      <c r="B77" s="28">
        <f>B75/B76</f>
        <v>1.7709234975632759</v>
      </c>
    </row>
    <row r="78" spans="1:8" x14ac:dyDescent="0.35">
      <c r="A78" s="10" t="s">
        <v>75</v>
      </c>
      <c r="B78" s="29">
        <f>B77^(1/5)-1</f>
        <v>0.1210886611779951</v>
      </c>
    </row>
    <row r="79" spans="1:8" x14ac:dyDescent="0.35">
      <c r="A79" s="5" t="s">
        <v>76</v>
      </c>
      <c r="B79" s="12">
        <f>B32-H63</f>
        <v>1813.5147649981329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/>
  </sheetViews>
  <sheetFormatPr defaultRowHeight="14.5" x14ac:dyDescent="0.35"/>
  <cols>
    <col min="1" max="1" width="30" customWidth="1"/>
    <col min="2" max="4" width="13" customWidth="1"/>
  </cols>
  <sheetData>
    <row r="1" spans="1:4" ht="54" x14ac:dyDescent="0.35">
      <c r="A1" s="1" t="s">
        <v>77</v>
      </c>
    </row>
    <row r="2" spans="1:4" ht="24" x14ac:dyDescent="0.35">
      <c r="A2" s="2" t="s">
        <v>78</v>
      </c>
    </row>
    <row r="4" spans="1:4" x14ac:dyDescent="0.35">
      <c r="A4" s="19" t="s">
        <v>79</v>
      </c>
      <c r="B4" s="20">
        <v>2028</v>
      </c>
      <c r="C4" s="20">
        <v>2029</v>
      </c>
      <c r="D4" s="20">
        <v>2030</v>
      </c>
    </row>
    <row r="5" spans="1:4" x14ac:dyDescent="0.35">
      <c r="A5" s="30">
        <f>LBO!$B$22+(-2)</f>
        <v>11.748868095241145</v>
      </c>
      <c r="B5" s="16">
        <f>((LBO!F44*$A5-LBO!F67)/LBO!$B$35)^(1/3)-1</f>
        <v>5.0477229760187647E-2</v>
      </c>
      <c r="C5" s="16">
        <f>((LBO!G44*$A5-LBO!G67)/LBO!$B$35)^(1/4)-1</f>
        <v>6.7493076558730047E-2</v>
      </c>
      <c r="D5" s="16">
        <f>((LBO!H44*$A5-LBO!H67)/LBO!$B$35)^(1/5)-1</f>
        <v>7.7074258092769909E-2</v>
      </c>
    </row>
    <row r="6" spans="1:4" x14ac:dyDescent="0.35">
      <c r="A6" s="30">
        <f>LBO!$B$22+(-1)</f>
        <v>12.748868095241145</v>
      </c>
      <c r="B6" s="16">
        <f>((LBO!F44*$A6-LBO!F67)/LBO!$B$35)^(1/3)-1</f>
        <v>9.3154235750554149E-2</v>
      </c>
      <c r="C6" s="16">
        <f>((LBO!G44*$A6-LBO!G67)/LBO!$B$35)^(1/4)-1</f>
        <v>9.7785935815158265E-2</v>
      </c>
      <c r="D6" s="16">
        <f>((LBO!H44*$A6-LBO!H67)/LBO!$B$35)^(1/5)-1</f>
        <v>9.9961537897435893E-2</v>
      </c>
    </row>
    <row r="7" spans="1:4" x14ac:dyDescent="0.35">
      <c r="A7" s="30">
        <f>LBO!$B$22+(0)</f>
        <v>13.748868095241145</v>
      </c>
      <c r="B7" s="16">
        <f>((LBO!F44*$A7-LBO!F67)/LBO!$B$35)^(1/3)-1</f>
        <v>0.13273627755539352</v>
      </c>
      <c r="C7" s="16">
        <f>((LBO!G44*$A7-LBO!G67)/LBO!$B$35)^(1/4)-1</f>
        <v>0.12576026330006407</v>
      </c>
      <c r="D7" s="31">
        <f>((LBO!H44*$A7-LBO!H67)/LBO!$B$35)^(1/5)-1</f>
        <v>0.1210886611779951</v>
      </c>
    </row>
    <row r="8" spans="1:4" x14ac:dyDescent="0.35">
      <c r="A8" s="30">
        <f>LBO!$B$22+(1)</f>
        <v>14.748868095241145</v>
      </c>
      <c r="B8" s="16">
        <f>((LBO!F44*$A8-LBO!F67)/LBO!$B$35)^(1/3)-1</f>
        <v>0.16972996748501212</v>
      </c>
      <c r="C8" s="16">
        <f>((LBO!G44*$A8-LBO!G67)/LBO!$B$35)^(1/4)-1</f>
        <v>0.15179211194811892</v>
      </c>
      <c r="D8" s="16">
        <f>((LBO!H44*$A8-LBO!H67)/LBO!$B$35)^(1/5)-1</f>
        <v>0.14073370283394682</v>
      </c>
    </row>
    <row r="9" spans="1:4" x14ac:dyDescent="0.35">
      <c r="A9" s="30">
        <f>LBO!$B$22+(2)</f>
        <v>15.748868095241145</v>
      </c>
      <c r="B9" s="16">
        <f>((LBO!F44*$A9-LBO!F67)/LBO!$B$35)^(1/3)-1</f>
        <v>0.20452099352390096</v>
      </c>
      <c r="C9" s="16">
        <f>((LBO!G44*$A9-LBO!G67)/LBO!$B$35)^(1/4)-1</f>
        <v>0.17616975180292194</v>
      </c>
      <c r="D9" s="16">
        <f>((LBO!H44*$A9-LBO!H67)/LBO!$B$35)^(1/5)-1</f>
        <v>0.1591118736004582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showGridLines="0" workbookViewId="0"/>
  </sheetViews>
  <sheetFormatPr defaultRowHeight="14.5" x14ac:dyDescent="0.35"/>
  <cols>
    <col min="1" max="1" width="120" customWidth="1"/>
  </cols>
  <sheetData>
    <row r="1" spans="1:1" ht="18" x14ac:dyDescent="0.35">
      <c r="A1" s="32" t="s">
        <v>80</v>
      </c>
    </row>
    <row r="2" spans="1:1" x14ac:dyDescent="0.35">
      <c r="A2" s="33" t="s">
        <v>81</v>
      </c>
    </row>
    <row r="3" spans="1:1" x14ac:dyDescent="0.35">
      <c r="A3" s="34" t="s">
        <v>82</v>
      </c>
    </row>
    <row r="4" spans="1:1" x14ac:dyDescent="0.35">
      <c r="A4" s="34" t="s">
        <v>83</v>
      </c>
    </row>
    <row r="5" spans="1:1" x14ac:dyDescent="0.35">
      <c r="A5" s="34" t="s">
        <v>84</v>
      </c>
    </row>
    <row r="6" spans="1:1" x14ac:dyDescent="0.35">
      <c r="A6" s="34" t="s">
        <v>85</v>
      </c>
    </row>
    <row r="7" spans="1:1" x14ac:dyDescent="0.35">
      <c r="A7" s="34"/>
    </row>
    <row r="8" spans="1:1" x14ac:dyDescent="0.35">
      <c r="A8" s="33" t="s">
        <v>86</v>
      </c>
    </row>
    <row r="9" spans="1:1" x14ac:dyDescent="0.35">
      <c r="A9" s="34" t="s">
        <v>87</v>
      </c>
    </row>
    <row r="10" spans="1:1" x14ac:dyDescent="0.35">
      <c r="A10" s="34" t="s">
        <v>88</v>
      </c>
    </row>
    <row r="11" spans="1:1" x14ac:dyDescent="0.35">
      <c r="A11" s="34" t="s">
        <v>89</v>
      </c>
    </row>
    <row r="12" spans="1:1" ht="25" x14ac:dyDescent="0.35">
      <c r="A12" s="34" t="s">
        <v>90</v>
      </c>
    </row>
    <row r="13" spans="1:1" x14ac:dyDescent="0.35">
      <c r="A13" s="34" t="s">
        <v>91</v>
      </c>
    </row>
    <row r="14" spans="1:1" x14ac:dyDescent="0.35">
      <c r="A14" s="34" t="s">
        <v>92</v>
      </c>
    </row>
    <row r="15" spans="1:1" x14ac:dyDescent="0.35">
      <c r="A15" s="34" t="s">
        <v>93</v>
      </c>
    </row>
    <row r="16" spans="1:1" x14ac:dyDescent="0.35">
      <c r="A16" s="34"/>
    </row>
    <row r="17" spans="1:1" x14ac:dyDescent="0.35">
      <c r="A17" s="33" t="s">
        <v>34</v>
      </c>
    </row>
    <row r="18" spans="1:1" x14ac:dyDescent="0.35">
      <c r="A18" s="34" t="s">
        <v>94</v>
      </c>
    </row>
    <row r="19" spans="1:1" x14ac:dyDescent="0.35">
      <c r="A19" s="34" t="s">
        <v>95</v>
      </c>
    </row>
    <row r="20" spans="1:1" x14ac:dyDescent="0.35">
      <c r="A20" s="34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LBO</vt:lpstr>
      <vt:lpstr>Sensitivity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ramirez</cp:lastModifiedBy>
  <dcterms:created xsi:type="dcterms:W3CDTF">2026-10-14T02:10:13Z</dcterms:created>
  <dcterms:modified xsi:type="dcterms:W3CDTF">2026-10-14T02:10:28Z</dcterms:modified>
</cp:coreProperties>
</file>