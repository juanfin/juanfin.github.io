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Projects\personal-web-portfolio\Economics\3. Historical Indicators\"/>
    </mc:Choice>
  </mc:AlternateContent>
  <xr:revisionPtr revIDLastSave="0" documentId="13_ncr:1_{C59D40A2-BB23-4E44-AF83-8DF7D68BD9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Decades" sheetId="2" r:id="rId2"/>
    <sheet name="Index 1980=100" sheetId="3" r:id="rId3"/>
    <sheet name="Normalized" sheetId="4" r:id="rId4"/>
    <sheet name="No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" i="4" l="1"/>
  <c r="F50" i="4"/>
  <c r="E50" i="4"/>
  <c r="D50" i="4"/>
  <c r="C50" i="4"/>
  <c r="B50" i="4"/>
  <c r="G49" i="4"/>
  <c r="F49" i="4"/>
  <c r="E49" i="4"/>
  <c r="D49" i="4"/>
  <c r="C49" i="4"/>
  <c r="B49" i="4"/>
  <c r="G48" i="4"/>
  <c r="F48" i="4"/>
  <c r="E48" i="4"/>
  <c r="D48" i="4"/>
  <c r="C48" i="4"/>
  <c r="B48" i="4"/>
  <c r="G47" i="4"/>
  <c r="F47" i="4"/>
  <c r="E47" i="4"/>
  <c r="D47" i="4"/>
  <c r="C47" i="4"/>
  <c r="B47" i="4"/>
  <c r="G46" i="4"/>
  <c r="F46" i="4"/>
  <c r="E46" i="4"/>
  <c r="D46" i="4"/>
  <c r="C46" i="4"/>
  <c r="B46" i="4"/>
  <c r="G45" i="4"/>
  <c r="F45" i="4"/>
  <c r="E45" i="4"/>
  <c r="D45" i="4"/>
  <c r="C45" i="4"/>
  <c r="B45" i="4"/>
  <c r="G44" i="4"/>
  <c r="F44" i="4"/>
  <c r="E44" i="4"/>
  <c r="D44" i="4"/>
  <c r="C44" i="4"/>
  <c r="B44" i="4"/>
  <c r="G43" i="4"/>
  <c r="F43" i="4"/>
  <c r="E43" i="4"/>
  <c r="D43" i="4"/>
  <c r="C43" i="4"/>
  <c r="B43" i="4"/>
  <c r="G42" i="4"/>
  <c r="F42" i="4"/>
  <c r="E42" i="4"/>
  <c r="D42" i="4"/>
  <c r="C42" i="4"/>
  <c r="B42" i="4"/>
  <c r="G41" i="4"/>
  <c r="F41" i="4"/>
  <c r="E41" i="4"/>
  <c r="D41" i="4"/>
  <c r="C41" i="4"/>
  <c r="B41" i="4"/>
  <c r="G40" i="4"/>
  <c r="F40" i="4"/>
  <c r="E40" i="4"/>
  <c r="D40" i="4"/>
  <c r="C40" i="4"/>
  <c r="B40" i="4"/>
  <c r="G39" i="4"/>
  <c r="F39" i="4"/>
  <c r="E39" i="4"/>
  <c r="D39" i="4"/>
  <c r="C39" i="4"/>
  <c r="B39" i="4"/>
  <c r="G38" i="4"/>
  <c r="F38" i="4"/>
  <c r="E38" i="4"/>
  <c r="D38" i="4"/>
  <c r="C38" i="4"/>
  <c r="B38" i="4"/>
  <c r="G37" i="4"/>
  <c r="F37" i="4"/>
  <c r="E37" i="4"/>
  <c r="D37" i="4"/>
  <c r="C37" i="4"/>
  <c r="B37" i="4"/>
  <c r="G36" i="4"/>
  <c r="F36" i="4"/>
  <c r="E36" i="4"/>
  <c r="D36" i="4"/>
  <c r="C36" i="4"/>
  <c r="B36" i="4"/>
  <c r="G35" i="4"/>
  <c r="F35" i="4"/>
  <c r="E35" i="4"/>
  <c r="D35" i="4"/>
  <c r="C35" i="4"/>
  <c r="B35" i="4"/>
  <c r="G34" i="4"/>
  <c r="F34" i="4"/>
  <c r="E34" i="4"/>
  <c r="D34" i="4"/>
  <c r="C34" i="4"/>
  <c r="B34" i="4"/>
  <c r="G33" i="4"/>
  <c r="F33" i="4"/>
  <c r="E33" i="4"/>
  <c r="D33" i="4"/>
  <c r="C33" i="4"/>
  <c r="B33" i="4"/>
  <c r="G32" i="4"/>
  <c r="F32" i="4"/>
  <c r="E32" i="4"/>
  <c r="D32" i="4"/>
  <c r="C32" i="4"/>
  <c r="B32" i="4"/>
  <c r="G31" i="4"/>
  <c r="F31" i="4"/>
  <c r="E31" i="4"/>
  <c r="D31" i="4"/>
  <c r="C31" i="4"/>
  <c r="B31" i="4"/>
  <c r="G30" i="4"/>
  <c r="F30" i="4"/>
  <c r="E30" i="4"/>
  <c r="D30" i="4"/>
  <c r="C30" i="4"/>
  <c r="B30" i="4"/>
  <c r="G29" i="4"/>
  <c r="F29" i="4"/>
  <c r="E29" i="4"/>
  <c r="D29" i="4"/>
  <c r="C29" i="4"/>
  <c r="B29" i="4"/>
  <c r="G28" i="4"/>
  <c r="F28" i="4"/>
  <c r="E28" i="4"/>
  <c r="D28" i="4"/>
  <c r="C28" i="4"/>
  <c r="B28" i="4"/>
  <c r="G27" i="4"/>
  <c r="F27" i="4"/>
  <c r="E27" i="4"/>
  <c r="D27" i="4"/>
  <c r="C27" i="4"/>
  <c r="B27" i="4"/>
  <c r="G26" i="4"/>
  <c r="F26" i="4"/>
  <c r="E26" i="4"/>
  <c r="D26" i="4"/>
  <c r="C26" i="4"/>
  <c r="B26" i="4"/>
  <c r="G25" i="4"/>
  <c r="F25" i="4"/>
  <c r="E25" i="4"/>
  <c r="D25" i="4"/>
  <c r="C25" i="4"/>
  <c r="B25" i="4"/>
  <c r="G24" i="4"/>
  <c r="F24" i="4"/>
  <c r="E24" i="4"/>
  <c r="D24" i="4"/>
  <c r="C24" i="4"/>
  <c r="B24" i="4"/>
  <c r="G23" i="4"/>
  <c r="F23" i="4"/>
  <c r="E23" i="4"/>
  <c r="D23" i="4"/>
  <c r="C23" i="4"/>
  <c r="B23" i="4"/>
  <c r="G22" i="4"/>
  <c r="F22" i="4"/>
  <c r="E22" i="4"/>
  <c r="D22" i="4"/>
  <c r="C22" i="4"/>
  <c r="B22" i="4"/>
  <c r="G21" i="4"/>
  <c r="F21" i="4"/>
  <c r="E21" i="4"/>
  <c r="D21" i="4"/>
  <c r="C21" i="4"/>
  <c r="B21" i="4"/>
  <c r="G20" i="4"/>
  <c r="F20" i="4"/>
  <c r="E20" i="4"/>
  <c r="D20" i="4"/>
  <c r="C20" i="4"/>
  <c r="B20" i="4"/>
  <c r="G19" i="4"/>
  <c r="F19" i="4"/>
  <c r="E19" i="4"/>
  <c r="D19" i="4"/>
  <c r="C19" i="4"/>
  <c r="B19" i="4"/>
  <c r="G18" i="4"/>
  <c r="F18" i="4"/>
  <c r="E18" i="4"/>
  <c r="D18" i="4"/>
  <c r="C18" i="4"/>
  <c r="B18" i="4"/>
  <c r="G17" i="4"/>
  <c r="F17" i="4"/>
  <c r="E17" i="4"/>
  <c r="D17" i="4"/>
  <c r="C17" i="4"/>
  <c r="B17" i="4"/>
  <c r="G16" i="4"/>
  <c r="F16" i="4"/>
  <c r="E16" i="4"/>
  <c r="D16" i="4"/>
  <c r="C16" i="4"/>
  <c r="B16" i="4"/>
  <c r="G15" i="4"/>
  <c r="F15" i="4"/>
  <c r="E15" i="4"/>
  <c r="D15" i="4"/>
  <c r="C15" i="4"/>
  <c r="B15" i="4"/>
  <c r="G14" i="4"/>
  <c r="F14" i="4"/>
  <c r="E14" i="4"/>
  <c r="D14" i="4"/>
  <c r="C14" i="4"/>
  <c r="B14" i="4"/>
  <c r="G13" i="4"/>
  <c r="F13" i="4"/>
  <c r="E13" i="4"/>
  <c r="D13" i="4"/>
  <c r="C13" i="4"/>
  <c r="B13" i="4"/>
  <c r="G12" i="4"/>
  <c r="F12" i="4"/>
  <c r="E12" i="4"/>
  <c r="D12" i="4"/>
  <c r="C12" i="4"/>
  <c r="B12" i="4"/>
  <c r="G11" i="4"/>
  <c r="F11" i="4"/>
  <c r="E11" i="4"/>
  <c r="D11" i="4"/>
  <c r="C11" i="4"/>
  <c r="B11" i="4"/>
  <c r="G10" i="4"/>
  <c r="F10" i="4"/>
  <c r="E10" i="4"/>
  <c r="D10" i="4"/>
  <c r="C10" i="4"/>
  <c r="B10" i="4"/>
  <c r="G9" i="4"/>
  <c r="F9" i="4"/>
  <c r="E9" i="4"/>
  <c r="D9" i="4"/>
  <c r="C9" i="4"/>
  <c r="B9" i="4"/>
  <c r="G8" i="4"/>
  <c r="F8" i="4"/>
  <c r="E8" i="4"/>
  <c r="D8" i="4"/>
  <c r="C8" i="4"/>
  <c r="B8" i="4"/>
  <c r="G7" i="4"/>
  <c r="F7" i="4"/>
  <c r="E7" i="4"/>
  <c r="D7" i="4"/>
  <c r="C7" i="4"/>
  <c r="B7" i="4"/>
  <c r="G6" i="4"/>
  <c r="F6" i="4"/>
  <c r="E6" i="4"/>
  <c r="D6" i="4"/>
  <c r="C6" i="4"/>
  <c r="B6" i="4"/>
  <c r="G5" i="4"/>
  <c r="F5" i="4"/>
  <c r="E5" i="4"/>
  <c r="D5" i="4"/>
  <c r="C5" i="4"/>
  <c r="B5" i="4"/>
  <c r="D50" i="3"/>
  <c r="C50" i="3"/>
  <c r="B50" i="3"/>
  <c r="D49" i="3"/>
  <c r="C49" i="3"/>
  <c r="B49" i="3"/>
  <c r="D48" i="3"/>
  <c r="C48" i="3"/>
  <c r="B48" i="3"/>
  <c r="D47" i="3"/>
  <c r="C47" i="3"/>
  <c r="B47" i="3"/>
  <c r="D46" i="3"/>
  <c r="C46" i="3"/>
  <c r="B46" i="3"/>
  <c r="D45" i="3"/>
  <c r="C45" i="3"/>
  <c r="B45" i="3"/>
  <c r="D44" i="3"/>
  <c r="C44" i="3"/>
  <c r="B44" i="3"/>
  <c r="D43" i="3"/>
  <c r="C43" i="3"/>
  <c r="B43" i="3"/>
  <c r="D42" i="3"/>
  <c r="C42" i="3"/>
  <c r="B42" i="3"/>
  <c r="D41" i="3"/>
  <c r="C41" i="3"/>
  <c r="B41" i="3"/>
  <c r="D40" i="3"/>
  <c r="C40" i="3"/>
  <c r="B40" i="3"/>
  <c r="D39" i="3"/>
  <c r="C39" i="3"/>
  <c r="B39" i="3"/>
  <c r="D38" i="3"/>
  <c r="C38" i="3"/>
  <c r="B38" i="3"/>
  <c r="D37" i="3"/>
  <c r="C37" i="3"/>
  <c r="B37" i="3"/>
  <c r="D36" i="3"/>
  <c r="C36" i="3"/>
  <c r="B36" i="3"/>
  <c r="D35" i="3"/>
  <c r="C35" i="3"/>
  <c r="B35" i="3"/>
  <c r="D34" i="3"/>
  <c r="C34" i="3"/>
  <c r="B34" i="3"/>
  <c r="D33" i="3"/>
  <c r="C33" i="3"/>
  <c r="B33" i="3"/>
  <c r="D32" i="3"/>
  <c r="C32" i="3"/>
  <c r="B32" i="3"/>
  <c r="D31" i="3"/>
  <c r="C31" i="3"/>
  <c r="B31" i="3"/>
  <c r="D30" i="3"/>
  <c r="C30" i="3"/>
  <c r="B30" i="3"/>
  <c r="D29" i="3"/>
  <c r="C29" i="3"/>
  <c r="B29" i="3"/>
  <c r="D28" i="3"/>
  <c r="C28" i="3"/>
  <c r="B28" i="3"/>
  <c r="D27" i="3"/>
  <c r="C27" i="3"/>
  <c r="B27" i="3"/>
  <c r="D26" i="3"/>
  <c r="C26" i="3"/>
  <c r="B26" i="3"/>
  <c r="D25" i="3"/>
  <c r="C25" i="3"/>
  <c r="B25" i="3"/>
  <c r="D24" i="3"/>
  <c r="C24" i="3"/>
  <c r="B24" i="3"/>
  <c r="D23" i="3"/>
  <c r="C23" i="3"/>
  <c r="B23" i="3"/>
  <c r="D22" i="3"/>
  <c r="C22" i="3"/>
  <c r="B22" i="3"/>
  <c r="D21" i="3"/>
  <c r="C21" i="3"/>
  <c r="B21" i="3"/>
  <c r="D20" i="3"/>
  <c r="C20" i="3"/>
  <c r="B20" i="3"/>
  <c r="D19" i="3"/>
  <c r="C19" i="3"/>
  <c r="B19" i="3"/>
  <c r="D18" i="3"/>
  <c r="C18" i="3"/>
  <c r="B18" i="3"/>
  <c r="D17" i="3"/>
  <c r="C17" i="3"/>
  <c r="B17" i="3"/>
  <c r="D16" i="3"/>
  <c r="C16" i="3"/>
  <c r="B16" i="3"/>
  <c r="D15" i="3"/>
  <c r="C15" i="3"/>
  <c r="B15" i="3"/>
  <c r="D14" i="3"/>
  <c r="C14" i="3"/>
  <c r="B14" i="3"/>
  <c r="D13" i="3"/>
  <c r="C13" i="3"/>
  <c r="B13" i="3"/>
  <c r="D12" i="3"/>
  <c r="C12" i="3"/>
  <c r="B12" i="3"/>
  <c r="D11" i="3"/>
  <c r="C11" i="3"/>
  <c r="B11" i="3"/>
  <c r="D10" i="3"/>
  <c r="C10" i="3"/>
  <c r="B10" i="3"/>
  <c r="D9" i="3"/>
  <c r="C9" i="3"/>
  <c r="B9" i="3"/>
  <c r="D8" i="3"/>
  <c r="C8" i="3"/>
  <c r="B8" i="3"/>
  <c r="D7" i="3"/>
  <c r="C7" i="3"/>
  <c r="B7" i="3"/>
  <c r="D6" i="3"/>
  <c r="C6" i="3"/>
  <c r="B6" i="3"/>
  <c r="D5" i="3"/>
  <c r="C5" i="3"/>
  <c r="B5" i="3"/>
  <c r="F10" i="2"/>
  <c r="E10" i="2"/>
  <c r="D10" i="2"/>
  <c r="C10" i="2"/>
  <c r="B10" i="2"/>
  <c r="F9" i="2"/>
  <c r="E9" i="2"/>
  <c r="D9" i="2"/>
  <c r="C9" i="2"/>
  <c r="B9" i="2"/>
  <c r="F8" i="2"/>
  <c r="E8" i="2"/>
  <c r="D8" i="2"/>
  <c r="C8" i="2"/>
  <c r="B8" i="2"/>
  <c r="F7" i="2"/>
  <c r="E7" i="2"/>
  <c r="D7" i="2"/>
  <c r="C7" i="2"/>
  <c r="B7" i="2"/>
  <c r="F6" i="2"/>
  <c r="E6" i="2"/>
  <c r="D6" i="2"/>
  <c r="C6" i="2"/>
  <c r="B6" i="2"/>
  <c r="F5" i="2"/>
  <c r="E5" i="2"/>
  <c r="D5" i="2"/>
  <c r="C5" i="2"/>
  <c r="B5" i="2"/>
</calcChain>
</file>

<file path=xl/sharedStrings.xml><?xml version="1.0" encoding="utf-8"?>
<sst xmlns="http://schemas.openxmlformats.org/spreadsheetml/2006/main" count="82" uniqueCount="70">
  <si>
    <t>Colombia: historical indicators, 1980 to 2025</t>
  </si>
  <si>
    <t>Blue figures are source data (World Bank, World Development Indicators). Empty cells: not available for that year.</t>
  </si>
  <si>
    <t>Year</t>
  </si>
  <si>
    <t>Inflation</t>
  </si>
  <si>
    <t>Interest rate</t>
  </si>
  <si>
    <t>Unemployment</t>
  </si>
  <si>
    <t>GDP growth</t>
  </si>
  <si>
    <t>Public debt</t>
  </si>
  <si>
    <t>Fiscal balance</t>
  </si>
  <si>
    <t>Population</t>
  </si>
  <si>
    <t>Real GDP</t>
  </si>
  <si>
    <t>Real GDP per person</t>
  </si>
  <si>
    <t>GDP, current prices</t>
  </si>
  <si>
    <t>Consumer prices, annual % change</t>
  </si>
  <si>
    <t>Lending interest rate, %</t>
  </si>
  <si>
    <t>% of the labour force, national estimate</t>
  </si>
  <si>
    <t>Real GDP, annual % change</t>
  </si>
  <si>
    <t>Central government debt, % of GDP</t>
  </si>
  <si>
    <t>Central government net lending (+) / borrowing (-), % of GDP</t>
  </si>
  <si>
    <t>People</t>
  </si>
  <si>
    <t>Constant 2015 US$</t>
  </si>
  <si>
    <t>Current US$</t>
  </si>
  <si>
    <t>FP.CPI.TOTL.ZG</t>
  </si>
  <si>
    <t>FR.INR.LEND</t>
  </si>
  <si>
    <t>SL.UEM.TOTL.NE.ZS</t>
  </si>
  <si>
    <t>NY.GDP.MKTP.KD.ZG</t>
  </si>
  <si>
    <t>GC.DOD.TOTL.GD.ZS</t>
  </si>
  <si>
    <t>GC.NLD.TOTL.GD.ZS</t>
  </si>
  <si>
    <t>SP.POP.TOTL</t>
  </si>
  <si>
    <t>NY.GDP.MKTP.KD</t>
  </si>
  <si>
    <t>NY.GDP.PCAP.KD</t>
  </si>
  <si>
    <t>NY.GDP.MKTP.CD</t>
  </si>
  <si>
    <t>Averages by decade</t>
  </si>
  <si>
    <t>Percent. Averages of the years available in each decade (formulas on the Data sheet).</t>
  </si>
  <si>
    <t>Indicator</t>
  </si>
  <si>
    <t>1980s</t>
  </si>
  <si>
    <t>1990s</t>
  </si>
  <si>
    <t>2000s</t>
  </si>
  <si>
    <t>2010s</t>
  </si>
  <si>
    <t>2020 to 2025</t>
  </si>
  <si>
    <t>Inflation: Consumer prices, annual % change</t>
  </si>
  <si>
    <t>Interest rate: Lending interest rate, %</t>
  </si>
  <si>
    <t>Unemployment: % of the labour force, national estimate</t>
  </si>
  <si>
    <t>GDP growth: Real GDP, annual % change</t>
  </si>
  <si>
    <t>Public debt: Central government debt, % of GDP</t>
  </si>
  <si>
    <t>Fiscal balance: Central government net lending (+) / borrowing (-), % of GDP</t>
  </si>
  <si>
    <t>Population and output, index 1980 = 100</t>
  </si>
  <si>
    <t>Each series divided by its 1980 value and multiplied by 100, so that series in different units can be compared.</t>
  </si>
  <si>
    <t>Normalized indicators: standard deviations from each indicator's own average</t>
  </si>
  <si>
    <t>z = (value - average of the series) / standard deviation of the series. 0 is a normal year for that indicator.</t>
  </si>
  <si>
    <t>Notes</t>
  </si>
  <si>
    <t>Definitions</t>
  </si>
  <si>
    <t>Inflation: Consumer prices, annual % change. World Bank code FP.CPI.TOTL.ZG.</t>
  </si>
  <si>
    <t>Interest rate: Lending interest rate, %. World Bank code FR.INR.LEND.</t>
  </si>
  <si>
    <t>Unemployment: % of the labour force, national estimate. World Bank code SL.UEM.TOTL.NE.ZS.</t>
  </si>
  <si>
    <t>GDP growth: Real GDP, annual % change. World Bank code NY.GDP.MKTP.KD.ZG.</t>
  </si>
  <si>
    <t>Public debt: Central government debt, % of GDP. World Bank code GC.DOD.TOTL.GD.ZS.</t>
  </si>
  <si>
    <t>Fiscal balance: Central government net lending (+) / borrowing (-), % of GDP. World Bank code GC.NLD.TOTL.GD.ZS.</t>
  </si>
  <si>
    <t>Population: People. World Bank code SP.POP.TOTL.</t>
  </si>
  <si>
    <t>Real GDP: Constant 2015 US$. World Bank code NY.GDP.MKTP.KD.</t>
  </si>
  <si>
    <t>Real GDP per person: Constant 2015 US$. World Bank code NY.GDP.PCAP.KD.</t>
  </si>
  <si>
    <t>GDP, current prices: Current US$. World Bank code NY.GDP.MKTP.CD.</t>
  </si>
  <si>
    <t>Points to keep in mind</t>
  </si>
  <si>
    <t>The interest rate is the average lending rate of banks, available from 1986. It is not the central bank's policy rate.</t>
  </si>
  <si>
    <t>Unemployment is the national estimate reported to the World Bank; 2006 is not available. It can differ from DANE's annual average because of the definition and the months used.</t>
  </si>
  <si>
    <t>Public debt and fiscal balance refer to the central government only and are available from 1998, with no data for 2001, 2002 and 2004 to 2007.</t>
  </si>
  <si>
    <t>Real GDP is measured in constant 2015 US dollars. The index sheet removes the units; the normalized sheet removes both units and scale.</t>
  </si>
  <si>
    <t>Source</t>
  </si>
  <si>
    <t>World Bank, World Development Indicators (api.worldbank.org).</t>
  </si>
  <si>
    <t>Retrieved on 2026-10-13.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</si>
</sst>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right" vertical="center" wrapText="1"/>
    </xf>
    <xf numFmtId="0" fontId="2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vertical="center" wrapText="1"/>
    </xf>
    <xf numFmtId="1" fontId="4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right" vertical="center" wrapText="1"/>
    </xf>
    <xf numFmtId="3" fontId="5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164" fontId="4" fillId="0" borderId="0" xfId="0" applyNumberFormat="1" applyFont="1" applyAlignment="1">
      <alignment horizontal="right" vertical="center" wrapText="1"/>
    </xf>
    <xf numFmtId="2" fontId="4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/>
            </a:pPr>
            <a:r>
              <a:t>Inflation, interest rate and unemployment (%)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Inflation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Data!$A$7:$A$52</c:f>
              <c:numCache>
                <c:formatCode>0</c:formatCode>
                <c:ptCount val="46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</c:numCache>
            </c:numRef>
          </c:cat>
          <c:val>
            <c:numRef>
              <c:f>Data!$B$4:$B$52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26.552653149535601</c:v>
                </c:pt>
                <c:pt idx="4" formatCode="0.00">
                  <c:v>27.453762434799302</c:v>
                </c:pt>
                <c:pt idx="5" formatCode="0.00">
                  <c:v>24.720988252858501</c:v>
                </c:pt>
                <c:pt idx="6" formatCode="0.00">
                  <c:v>19.597317062476399</c:v>
                </c:pt>
                <c:pt idx="7" formatCode="0.00">
                  <c:v>16.161617136142599</c:v>
                </c:pt>
                <c:pt idx="8" formatCode="0.00">
                  <c:v>24.090174368124998</c:v>
                </c:pt>
                <c:pt idx="9" formatCode="0.00">
                  <c:v>18.842463161240499</c:v>
                </c:pt>
                <c:pt idx="10" formatCode="0.00">
                  <c:v>23.302028364018</c:v>
                </c:pt>
                <c:pt idx="11" formatCode="0.00">
                  <c:v>28.108396977170301</c:v>
                </c:pt>
                <c:pt idx="12" formatCode="0.00">
                  <c:v>25.867548083198699</c:v>
                </c:pt>
                <c:pt idx="13" formatCode="0.00">
                  <c:v>29.152024597621502</c:v>
                </c:pt>
                <c:pt idx="14" formatCode="0.00">
                  <c:v>30.387820485443498</c:v>
                </c:pt>
                <c:pt idx="15" formatCode="0.00">
                  <c:v>27.010626623136002</c:v>
                </c:pt>
                <c:pt idx="16" formatCode="0.00">
                  <c:v>22.442482853327501</c:v>
                </c:pt>
                <c:pt idx="17" formatCode="0.00">
                  <c:v>22.846241755304401</c:v>
                </c:pt>
                <c:pt idx="18" formatCode="0.00">
                  <c:v>20.891793019484901</c:v>
                </c:pt>
                <c:pt idx="19" formatCode="0.00">
                  <c:v>20.797575512740099</c:v>
                </c:pt>
                <c:pt idx="20" formatCode="0.00">
                  <c:v>18.470021711908899</c:v>
                </c:pt>
                <c:pt idx="21" formatCode="0.00">
                  <c:v>18.676979927667102</c:v>
                </c:pt>
                <c:pt idx="22" formatCode="0.00">
                  <c:v>10.873687085746999</c:v>
                </c:pt>
                <c:pt idx="23" formatCode="0.00">
                  <c:v>9.2253481858536492</c:v>
                </c:pt>
                <c:pt idx="24" formatCode="0.00">
                  <c:v>7.9655609030483401</c:v>
                </c:pt>
                <c:pt idx="25" formatCode="0.00">
                  <c:v>6.3515072877887198</c:v>
                </c:pt>
                <c:pt idx="26" formatCode="0.00">
                  <c:v>7.1297886294186004</c:v>
                </c:pt>
                <c:pt idx="27" formatCode="0.00">
                  <c:v>5.9040200554650202</c:v>
                </c:pt>
                <c:pt idx="28" formatCode="0.00">
                  <c:v>5.0510196268969496</c:v>
                </c:pt>
                <c:pt idx="29" formatCode="0.00">
                  <c:v>4.2934236362892602</c:v>
                </c:pt>
                <c:pt idx="30" formatCode="0.00">
                  <c:v>5.5443848581515498</c:v>
                </c:pt>
                <c:pt idx="31" formatCode="0.00">
                  <c:v>6.9968849555450996</c:v>
                </c:pt>
                <c:pt idx="32" formatCode="0.00">
                  <c:v>4.2025166121648097</c:v>
                </c:pt>
                <c:pt idx="33" formatCode="0.00">
                  <c:v>2.27200227892008</c:v>
                </c:pt>
                <c:pt idx="34" formatCode="0.00">
                  <c:v>3.4150334477625002</c:v>
                </c:pt>
                <c:pt idx="35" formatCode="0.00">
                  <c:v>3.1693018884005499</c:v>
                </c:pt>
                <c:pt idx="36" formatCode="0.00">
                  <c:v>2.0169922431038301</c:v>
                </c:pt>
                <c:pt idx="37" formatCode="0.00">
                  <c:v>2.8988378776173702</c:v>
                </c:pt>
                <c:pt idx="38" formatCode="0.00">
                  <c:v>4.9898311584952904</c:v>
                </c:pt>
                <c:pt idx="39" formatCode="0.00">
                  <c:v>7.5134602462767397</c:v>
                </c:pt>
                <c:pt idx="40" formatCode="0.00">
                  <c:v>4.3143132569500997</c:v>
                </c:pt>
                <c:pt idx="41" formatCode="0.00">
                  <c:v>3.2405693293056901</c:v>
                </c:pt>
                <c:pt idx="42" formatCode="0.00">
                  <c:v>3.5230193274144601</c:v>
                </c:pt>
                <c:pt idx="43" formatCode="0.00">
                  <c:v>2.5266350008470599</c:v>
                </c:pt>
                <c:pt idx="44" formatCode="0.00">
                  <c:v>3.49505757399448</c:v>
                </c:pt>
                <c:pt idx="45" formatCode="0.00">
                  <c:v>10.1772313546166</c:v>
                </c:pt>
                <c:pt idx="46" formatCode="0.00">
                  <c:v>11.735904494868899</c:v>
                </c:pt>
                <c:pt idx="47" formatCode="0.00">
                  <c:v>6.6090859372822797</c:v>
                </c:pt>
                <c:pt idx="48" formatCode="0.00">
                  <c:v>5.1422291194620096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7E-4490-9B07-144116FEC15A}"/>
            </c:ext>
          </c:extLst>
        </c:ser>
        <c:ser>
          <c:idx val="1"/>
          <c:order val="1"/>
          <c:tx>
            <c:v>Interest rate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Data!$A$7:$A$52</c:f>
              <c:numCache>
                <c:formatCode>0</c:formatCode>
                <c:ptCount val="46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</c:numCache>
            </c:numRef>
          </c:cat>
          <c:val>
            <c:numRef>
              <c:f>Data!$C$4:$C$52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9" formatCode="0.00">
                  <c:v>40.220136518771497</c:v>
                </c:pt>
                <c:pt idx="10" formatCode="0.00">
                  <c:v>40.484440273037698</c:v>
                </c:pt>
                <c:pt idx="11" formatCode="0.00">
                  <c:v>42.045638225256099</c:v>
                </c:pt>
                <c:pt idx="12" formatCode="0.00">
                  <c:v>42.392023890785097</c:v>
                </c:pt>
                <c:pt idx="13" formatCode="0.00">
                  <c:v>44.569656996587099</c:v>
                </c:pt>
                <c:pt idx="14" formatCode="0.00">
                  <c:v>46.420604095563299</c:v>
                </c:pt>
                <c:pt idx="15" formatCode="0.00">
                  <c:v>36.719343003413002</c:v>
                </c:pt>
                <c:pt idx="16" formatCode="0.00">
                  <c:v>35.276343003412997</c:v>
                </c:pt>
                <c:pt idx="17" formatCode="0.00">
                  <c:v>39.857334470989798</c:v>
                </c:pt>
                <c:pt idx="18" formatCode="0.00">
                  <c:v>42.076008532423302</c:v>
                </c:pt>
                <c:pt idx="19" formatCode="0.00">
                  <c:v>41.361895904436999</c:v>
                </c:pt>
                <c:pt idx="20" formatCode="0.00">
                  <c:v>33.710220136518799</c:v>
                </c:pt>
                <c:pt idx="21" formatCode="0.00">
                  <c:v>41.604858361774802</c:v>
                </c:pt>
                <c:pt idx="22" formatCode="0.00">
                  <c:v>29.425800341296899</c:v>
                </c:pt>
                <c:pt idx="23" formatCode="0.00">
                  <c:v>18.786666666666601</c:v>
                </c:pt>
                <c:pt idx="24" formatCode="0.00">
                  <c:v>20.72</c:v>
                </c:pt>
                <c:pt idx="25" formatCode="0.00">
                  <c:v>16.326798330828701</c:v>
                </c:pt>
                <c:pt idx="26" formatCode="0.00">
                  <c:v>15.187101145087899</c:v>
                </c:pt>
                <c:pt idx="27" formatCode="0.00">
                  <c:v>15.083056716888301</c:v>
                </c:pt>
                <c:pt idx="28" formatCode="0.00">
                  <c:v>14.560833333333299</c:v>
                </c:pt>
                <c:pt idx="29" formatCode="0.00">
                  <c:v>12.893913084832</c:v>
                </c:pt>
                <c:pt idx="30" formatCode="0.00">
                  <c:v>15.381850101101501</c:v>
                </c:pt>
                <c:pt idx="31" formatCode="0.00">
                  <c:v>17.175623143669601</c:v>
                </c:pt>
                <c:pt idx="32" formatCode="0.00">
                  <c:v>13.008074603384101</c:v>
                </c:pt>
                <c:pt idx="33" formatCode="0.00">
                  <c:v>9.3814899368340097</c:v>
                </c:pt>
                <c:pt idx="34" formatCode="0.00">
                  <c:v>11.2199184470583</c:v>
                </c:pt>
                <c:pt idx="35" formatCode="0.00">
                  <c:v>12.585040204924701</c:v>
                </c:pt>
                <c:pt idx="36" formatCode="0.00">
                  <c:v>10.9855861710036</c:v>
                </c:pt>
                <c:pt idx="37" formatCode="0.00">
                  <c:v>10.867335037612699</c:v>
                </c:pt>
                <c:pt idx="38" formatCode="0.00">
                  <c:v>11.4499872575296</c:v>
                </c:pt>
                <c:pt idx="39" formatCode="0.00">
                  <c:v>14.6454318106769</c:v>
                </c:pt>
                <c:pt idx="40" formatCode="0.00">
                  <c:v>13.685830318481701</c:v>
                </c:pt>
                <c:pt idx="41" formatCode="0.00">
                  <c:v>12.1148777449182</c:v>
                </c:pt>
                <c:pt idx="42" formatCode="0.00">
                  <c:v>11.7690653821826</c:v>
                </c:pt>
                <c:pt idx="43" formatCode="0.00">
                  <c:v>9.8505242512901408</c:v>
                </c:pt>
                <c:pt idx="44" formatCode="0.00">
                  <c:v>9.33784840910009</c:v>
                </c:pt>
                <c:pt idx="45" formatCode="0.00">
                  <c:v>15.807508870630301</c:v>
                </c:pt>
                <c:pt idx="46" formatCode="0.00">
                  <c:v>21.030636830486198</c:v>
                </c:pt>
                <c:pt idx="47" formatCode="0.00">
                  <c:v>16.374422638009101</c:v>
                </c:pt>
                <c:pt idx="48" formatCode="0.00">
                  <c:v>14.3114389316572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7E-4490-9B07-144116FEC15A}"/>
            </c:ext>
          </c:extLst>
        </c:ser>
        <c:ser>
          <c:idx val="2"/>
          <c:order val="2"/>
          <c:tx>
            <c:v>Unemployment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Data!$A$7:$A$52</c:f>
              <c:numCache>
                <c:formatCode>0</c:formatCode>
                <c:ptCount val="46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</c:numCache>
            </c:numRef>
          </c:cat>
          <c:val>
            <c:numRef>
              <c:f>Data!$D$4:$D$52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3.831</c:v>
                </c:pt>
                <c:pt idx="4" formatCode="0.00">
                  <c:v>8.1349999999999998</c:v>
                </c:pt>
                <c:pt idx="5" formatCode="0.00">
                  <c:v>9.1</c:v>
                </c:pt>
                <c:pt idx="6" formatCode="0.00">
                  <c:v>11.132999999999999</c:v>
                </c:pt>
                <c:pt idx="7" formatCode="0.00">
                  <c:v>13.003</c:v>
                </c:pt>
                <c:pt idx="8" formatCode="0.00">
                  <c:v>13.887</c:v>
                </c:pt>
                <c:pt idx="9" formatCode="0.00">
                  <c:v>13.042999999999999</c:v>
                </c:pt>
                <c:pt idx="10" formatCode="0.00">
                  <c:v>10.927</c:v>
                </c:pt>
                <c:pt idx="11" formatCode="0.00">
                  <c:v>10.138999999999999</c:v>
                </c:pt>
                <c:pt idx="12" formatCode="0.00">
                  <c:v>8.8219999999999992</c:v>
                </c:pt>
                <c:pt idx="13" formatCode="0.00">
                  <c:v>10.151999999999999</c:v>
                </c:pt>
                <c:pt idx="14" formatCode="0.00">
                  <c:v>10.124000000000001</c:v>
                </c:pt>
                <c:pt idx="15" formatCode="0.00">
                  <c:v>9.4350000000000005</c:v>
                </c:pt>
                <c:pt idx="16" formatCode="0.00">
                  <c:v>7.8</c:v>
                </c:pt>
                <c:pt idx="17" formatCode="0.00">
                  <c:v>7.6</c:v>
                </c:pt>
                <c:pt idx="18" formatCode="0.00">
                  <c:v>8.7200000000000006</c:v>
                </c:pt>
                <c:pt idx="19" formatCode="0.00">
                  <c:v>11.805999999999999</c:v>
                </c:pt>
                <c:pt idx="20" formatCode="0.00">
                  <c:v>12.14</c:v>
                </c:pt>
                <c:pt idx="21" formatCode="0.00">
                  <c:v>15</c:v>
                </c:pt>
                <c:pt idx="22" formatCode="0.00">
                  <c:v>20.059999999999999</c:v>
                </c:pt>
                <c:pt idx="23" formatCode="0.00">
                  <c:v>20.523</c:v>
                </c:pt>
                <c:pt idx="24" formatCode="0.00">
                  <c:v>15.04</c:v>
                </c:pt>
                <c:pt idx="25" formatCode="0.00">
                  <c:v>14.481</c:v>
                </c:pt>
                <c:pt idx="26" formatCode="0.00">
                  <c:v>13.221</c:v>
                </c:pt>
                <c:pt idx="27" formatCode="0.00">
                  <c:v>13.717000000000001</c:v>
                </c:pt>
                <c:pt idx="28" formatCode="0.00">
                  <c:v>11.061999999999999</c:v>
                </c:pt>
                <c:pt idx="30" formatCode="0.00">
                  <c:v>10.252000000000001</c:v>
                </c:pt>
                <c:pt idx="31" formatCode="0.00">
                  <c:v>10.52</c:v>
                </c:pt>
                <c:pt idx="32" formatCode="0.00">
                  <c:v>11.319000000000001</c:v>
                </c:pt>
                <c:pt idx="33" formatCode="0.00">
                  <c:v>11.153</c:v>
                </c:pt>
                <c:pt idx="34" formatCode="0.00">
                  <c:v>10.288</c:v>
                </c:pt>
                <c:pt idx="35" formatCode="0.00">
                  <c:v>9.9589999999999996</c:v>
                </c:pt>
                <c:pt idx="36" formatCode="0.00">
                  <c:v>9.2460000000000004</c:v>
                </c:pt>
                <c:pt idx="37" formatCode="0.00">
                  <c:v>8.7989999999999995</c:v>
                </c:pt>
                <c:pt idx="38" formatCode="0.00">
                  <c:v>8.5719999999999992</c:v>
                </c:pt>
                <c:pt idx="39" formatCode="0.00">
                  <c:v>8.9220000000000006</c:v>
                </c:pt>
                <c:pt idx="40" formatCode="0.00">
                  <c:v>9.0860000000000003</c:v>
                </c:pt>
                <c:pt idx="41" formatCode="0.00">
                  <c:v>9.36</c:v>
                </c:pt>
                <c:pt idx="42" formatCode="0.00">
                  <c:v>10.28</c:v>
                </c:pt>
                <c:pt idx="43" formatCode="0.00">
                  <c:v>15.568</c:v>
                </c:pt>
                <c:pt idx="44" formatCode="0.00">
                  <c:v>13.898</c:v>
                </c:pt>
                <c:pt idx="45" formatCode="0.00">
                  <c:v>10.541</c:v>
                </c:pt>
                <c:pt idx="46" formatCode="0.00">
                  <c:v>9.5909999999999993</c:v>
                </c:pt>
                <c:pt idx="47" formatCode="0.00">
                  <c:v>9.6189999999999998</c:v>
                </c:pt>
                <c:pt idx="48" formatCode="0.00">
                  <c:v>8.4280000000000008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7E-4490-9B07-144116FEC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5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/>
            </a:pPr>
            <a:r>
              <a:t>Index 1980 = 100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'Index 1980=100'!$B$4</c:f>
              <c:strCache>
                <c:ptCount val="1"/>
                <c:pt idx="0">
                  <c:v>Population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'Index 1980=100'!$A$5:$A$50</c:f>
              <c:numCache>
                <c:formatCode>0</c:formatCode>
                <c:ptCount val="46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</c:numCache>
            </c:numRef>
          </c:cat>
          <c:val>
            <c:numRef>
              <c:f>'Index 1980=100'!$B$5:$B$50</c:f>
              <c:numCache>
                <c:formatCode>0.0</c:formatCode>
                <c:ptCount val="46"/>
                <c:pt idx="0">
                  <c:v>100</c:v>
                </c:pt>
                <c:pt idx="1">
                  <c:v>102.33204637760129</c:v>
                </c:pt>
                <c:pt idx="2">
                  <c:v>104.72651494773046</c:v>
                </c:pt>
                <c:pt idx="3">
                  <c:v>107.21590202577349</c:v>
                </c:pt>
                <c:pt idx="4">
                  <c:v>109.72319789486087</c:v>
                </c:pt>
                <c:pt idx="5">
                  <c:v>112.12040928731899</c:v>
                </c:pt>
                <c:pt idx="6">
                  <c:v>114.45963067361036</c:v>
                </c:pt>
                <c:pt idx="7">
                  <c:v>116.83606020694211</c:v>
                </c:pt>
                <c:pt idx="8">
                  <c:v>119.25348650642506</c:v>
                </c:pt>
                <c:pt idx="9">
                  <c:v>121.7272172788</c:v>
                </c:pt>
                <c:pt idx="10">
                  <c:v>124.27003576165303</c:v>
                </c:pt>
                <c:pt idx="11">
                  <c:v>126.79183487841827</c:v>
                </c:pt>
                <c:pt idx="12">
                  <c:v>129.32855862618004</c:v>
                </c:pt>
                <c:pt idx="13">
                  <c:v>131.93692903039164</c:v>
                </c:pt>
                <c:pt idx="14">
                  <c:v>134.5645872983269</c:v>
                </c:pt>
                <c:pt idx="15">
                  <c:v>137.15897543787281</c:v>
                </c:pt>
                <c:pt idx="16">
                  <c:v>139.67993178800066</c:v>
                </c:pt>
                <c:pt idx="17">
                  <c:v>142.20211781126761</c:v>
                </c:pt>
                <c:pt idx="18">
                  <c:v>144.77261734740122</c:v>
                </c:pt>
                <c:pt idx="19">
                  <c:v>147.31125264312686</c:v>
                </c:pt>
                <c:pt idx="20">
                  <c:v>149.74405560298459</c:v>
                </c:pt>
                <c:pt idx="21">
                  <c:v>152.11655094842277</c:v>
                </c:pt>
                <c:pt idx="22">
                  <c:v>154.47406803226019</c:v>
                </c:pt>
                <c:pt idx="23">
                  <c:v>156.82136082448318</c:v>
                </c:pt>
                <c:pt idx="24">
                  <c:v>159.14181149930559</c:v>
                </c:pt>
                <c:pt idx="25">
                  <c:v>161.38589219375143</c:v>
                </c:pt>
                <c:pt idx="26">
                  <c:v>163.53918776756404</c:v>
                </c:pt>
                <c:pt idx="27">
                  <c:v>165.62423073602105</c:v>
                </c:pt>
                <c:pt idx="28">
                  <c:v>167.62937942725426</c:v>
                </c:pt>
                <c:pt idx="29">
                  <c:v>169.59353518309373</c:v>
                </c:pt>
                <c:pt idx="30">
                  <c:v>171.5310480209196</c:v>
                </c:pt>
                <c:pt idx="31">
                  <c:v>173.37860318171988</c:v>
                </c:pt>
                <c:pt idx="32">
                  <c:v>175.12617940402455</c:v>
                </c:pt>
                <c:pt idx="33">
                  <c:v>176.79552389783552</c:v>
                </c:pt>
                <c:pt idx="34">
                  <c:v>178.38086371168677</c:v>
                </c:pt>
                <c:pt idx="35">
                  <c:v>179.93044723556838</c:v>
                </c:pt>
                <c:pt idx="36">
                  <c:v>181.72160215454056</c:v>
                </c:pt>
                <c:pt idx="37">
                  <c:v>184.37848527100579</c:v>
                </c:pt>
                <c:pt idx="38">
                  <c:v>187.80083417041769</c:v>
                </c:pt>
                <c:pt idx="39">
                  <c:v>191.18538498614299</c:v>
                </c:pt>
                <c:pt idx="40">
                  <c:v>193.95123782882169</c:v>
                </c:pt>
                <c:pt idx="41">
                  <c:v>196.08947469512725</c:v>
                </c:pt>
                <c:pt idx="42">
                  <c:v>198.1955140451274</c:v>
                </c:pt>
                <c:pt idx="43">
                  <c:v>200.42964243173725</c:v>
                </c:pt>
                <c:pt idx="44">
                  <c:v>202.59482867665182</c:v>
                </c:pt>
                <c:pt idx="45">
                  <c:v>204.66064890426162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38-4794-A61E-0FF641353A46}"/>
            </c:ext>
          </c:extLst>
        </c:ser>
        <c:ser>
          <c:idx val="1"/>
          <c:order val="1"/>
          <c:tx>
            <c:strRef>
              <c:f>'Index 1980=100'!$C$4</c:f>
              <c:strCache>
                <c:ptCount val="1"/>
                <c:pt idx="0">
                  <c:v>Real GDP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'Index 1980=100'!$A$5:$A$50</c:f>
              <c:numCache>
                <c:formatCode>0</c:formatCode>
                <c:ptCount val="46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</c:numCache>
            </c:numRef>
          </c:cat>
          <c:val>
            <c:numRef>
              <c:f>'Index 1980=100'!$C$5:$C$50</c:f>
              <c:numCache>
                <c:formatCode>0.0</c:formatCode>
                <c:ptCount val="46"/>
                <c:pt idx="0">
                  <c:v>100</c:v>
                </c:pt>
                <c:pt idx="1">
                  <c:v>102.27687274512172</c:v>
                </c:pt>
                <c:pt idx="2">
                  <c:v>103.24688786612548</c:v>
                </c:pt>
                <c:pt idx="3">
                  <c:v>104.87194849219259</c:v>
                </c:pt>
                <c:pt idx="4">
                  <c:v>108.38587581751979</c:v>
                </c:pt>
                <c:pt idx="5">
                  <c:v>111.75354008034171</c:v>
                </c:pt>
                <c:pt idx="6">
                  <c:v>118.26215134092659</c:v>
                </c:pt>
                <c:pt idx="7">
                  <c:v>124.61156600343837</c:v>
                </c:pt>
                <c:pt idx="8">
                  <c:v>129.67599592900567</c:v>
                </c:pt>
                <c:pt idx="9">
                  <c:v>134.10325906118786</c:v>
                </c:pt>
                <c:pt idx="10">
                  <c:v>139.84555837537556</c:v>
                </c:pt>
                <c:pt idx="11">
                  <c:v>142.6447176939117</c:v>
                </c:pt>
                <c:pt idx="12">
                  <c:v>148.41459587357056</c:v>
                </c:pt>
                <c:pt idx="13">
                  <c:v>156.40733027068791</c:v>
                </c:pt>
                <c:pt idx="14">
                  <c:v>165.50188772407324</c:v>
                </c:pt>
                <c:pt idx="15">
                  <c:v>174.11202014780244</c:v>
                </c:pt>
                <c:pt idx="16">
                  <c:v>177.69151031968738</c:v>
                </c:pt>
                <c:pt idx="17">
                  <c:v>183.78685096431994</c:v>
                </c:pt>
                <c:pt idx="18">
                  <c:v>184.83403919774972</c:v>
                </c:pt>
                <c:pt idx="19">
                  <c:v>177.06358801664123</c:v>
                </c:pt>
                <c:pt idx="20">
                  <c:v>182.242452700775</c:v>
                </c:pt>
                <c:pt idx="21">
                  <c:v>185.30029573087273</c:v>
                </c:pt>
                <c:pt idx="22">
                  <c:v>189.94017894052038</c:v>
                </c:pt>
                <c:pt idx="23">
                  <c:v>197.38255160488228</c:v>
                </c:pt>
                <c:pt idx="24">
                  <c:v>207.90900663956072</c:v>
                </c:pt>
                <c:pt idx="25">
                  <c:v>217.9484358916543</c:v>
                </c:pt>
                <c:pt idx="26">
                  <c:v>232.58774616080925</c:v>
                </c:pt>
                <c:pt idx="27">
                  <c:v>248.25996132432397</c:v>
                </c:pt>
                <c:pt idx="28">
                  <c:v>256.41144355620304</c:v>
                </c:pt>
                <c:pt idx="29">
                  <c:v>259.33363309954854</c:v>
                </c:pt>
                <c:pt idx="30">
                  <c:v>270.98979550372337</c:v>
                </c:pt>
                <c:pt idx="31">
                  <c:v>289.81787377684827</c:v>
                </c:pt>
                <c:pt idx="32">
                  <c:v>301.15739156586756</c:v>
                </c:pt>
                <c:pt idx="33">
                  <c:v>316.61879253372922</c:v>
                </c:pt>
                <c:pt idx="34">
                  <c:v>330.863566998973</c:v>
                </c:pt>
                <c:pt idx="35">
                  <c:v>340.64356772618061</c:v>
                </c:pt>
                <c:pt idx="36">
                  <c:v>347.75410195181769</c:v>
                </c:pt>
                <c:pt idx="37">
                  <c:v>352.48133513022435</c:v>
                </c:pt>
                <c:pt idx="38">
                  <c:v>361.5200995992256</c:v>
                </c:pt>
                <c:pt idx="39">
                  <c:v>373.04122238811385</c:v>
                </c:pt>
                <c:pt idx="40">
                  <c:v>346.23480044941829</c:v>
                </c:pt>
                <c:pt idx="41">
                  <c:v>383.63230745040005</c:v>
                </c:pt>
                <c:pt idx="42">
                  <c:v>411.74594673080958</c:v>
                </c:pt>
                <c:pt idx="43">
                  <c:v>415.21210463040512</c:v>
                </c:pt>
                <c:pt idx="44">
                  <c:v>421.41249724830845</c:v>
                </c:pt>
                <c:pt idx="45">
                  <c:v>432.54628070181099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38-4794-A61E-0FF641353A46}"/>
            </c:ext>
          </c:extLst>
        </c:ser>
        <c:ser>
          <c:idx val="2"/>
          <c:order val="2"/>
          <c:tx>
            <c:strRef>
              <c:f>'Index 1980=100'!$D$4</c:f>
              <c:strCache>
                <c:ptCount val="1"/>
                <c:pt idx="0">
                  <c:v>Real GDP per person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'Index 1980=100'!$A$5:$A$50</c:f>
              <c:numCache>
                <c:formatCode>0</c:formatCode>
                <c:ptCount val="46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</c:numCache>
            </c:numRef>
          </c:cat>
          <c:val>
            <c:numRef>
              <c:f>'Index 1980=100'!$D$5:$D$50</c:f>
              <c:numCache>
                <c:formatCode>0.0</c:formatCode>
                <c:ptCount val="46"/>
                <c:pt idx="0">
                  <c:v>100</c:v>
                </c:pt>
                <c:pt idx="1">
                  <c:v>99.946083720171202</c:v>
                </c:pt>
                <c:pt idx="2">
                  <c:v>98.587151417820721</c:v>
                </c:pt>
                <c:pt idx="3">
                  <c:v>97.813800481744323</c:v>
                </c:pt>
                <c:pt idx="4">
                  <c:v>98.781185653536397</c:v>
                </c:pt>
                <c:pt idx="5">
                  <c:v>99.672789985954154</c:v>
                </c:pt>
                <c:pt idx="6">
                  <c:v>103.32215004096861</c:v>
                </c:pt>
                <c:pt idx="7">
                  <c:v>106.65505648061351</c:v>
                </c:pt>
                <c:pt idx="8">
                  <c:v>108.73979430531652</c:v>
                </c:pt>
                <c:pt idx="9">
                  <c:v>110.1670292470766</c:v>
                </c:pt>
                <c:pt idx="10">
                  <c:v>112.53361079222309</c:v>
                </c:pt>
                <c:pt idx="11">
                  <c:v>112.50307863333262</c:v>
                </c:pt>
                <c:pt idx="12">
                  <c:v>114.7577901200909</c:v>
                </c:pt>
                <c:pt idx="13">
                  <c:v>118.5470447282118</c:v>
                </c:pt>
                <c:pt idx="14">
                  <c:v>122.99067016581378</c:v>
                </c:pt>
                <c:pt idx="15">
                  <c:v>126.941761989661</c:v>
                </c:pt>
                <c:pt idx="16">
                  <c:v>127.21334270794094</c:v>
                </c:pt>
                <c:pt idx="17">
                  <c:v>129.24339932000441</c:v>
                </c:pt>
                <c:pt idx="18">
                  <c:v>127.67196075084782</c:v>
                </c:pt>
                <c:pt idx="19">
                  <c:v>120.19691967835699</c:v>
                </c:pt>
                <c:pt idx="20">
                  <c:v>121.70262917411134</c:v>
                </c:pt>
                <c:pt idx="21">
                  <c:v>121.81468392200259</c:v>
                </c:pt>
                <c:pt idx="22">
                  <c:v>122.95926517637457</c:v>
                </c:pt>
                <c:pt idx="23">
                  <c:v>125.86458283944854</c:v>
                </c:pt>
                <c:pt idx="24">
                  <c:v>130.64386076846145</c:v>
                </c:pt>
                <c:pt idx="25">
                  <c:v>135.04801003919067</c:v>
                </c:pt>
                <c:pt idx="26">
                  <c:v>142.22141453422367</c:v>
                </c:pt>
                <c:pt idx="27">
                  <c:v>149.89350303459582</c:v>
                </c:pt>
                <c:pt idx="28">
                  <c:v>152.96330776400532</c:v>
                </c:pt>
                <c:pt idx="29">
                  <c:v>152.91481059084666</c:v>
                </c:pt>
                <c:pt idx="30">
                  <c:v>157.98294164836796</c:v>
                </c:pt>
                <c:pt idx="31">
                  <c:v>167.15896221235974</c:v>
                </c:pt>
                <c:pt idx="32">
                  <c:v>171.96594626271312</c:v>
                </c:pt>
                <c:pt idx="33">
                  <c:v>179.0875614682945</c:v>
                </c:pt>
                <c:pt idx="34">
                  <c:v>185.4815365922554</c:v>
                </c:pt>
                <c:pt idx="35">
                  <c:v>189.3195804044235</c:v>
                </c:pt>
                <c:pt idx="36">
                  <c:v>191.36640764155254</c:v>
                </c:pt>
                <c:pt idx="37">
                  <c:v>191.17270358964907</c:v>
                </c:pt>
                <c:pt idx="38">
                  <c:v>192.50186038639669</c:v>
                </c:pt>
                <c:pt idx="39">
                  <c:v>195.12015649896654</c:v>
                </c:pt>
                <c:pt idx="40">
                  <c:v>178.51641697435289</c:v>
                </c:pt>
                <c:pt idx="41">
                  <c:v>195.64145808787421</c:v>
                </c:pt>
                <c:pt idx="42">
                  <c:v>207.7473593257304</c:v>
                </c:pt>
                <c:pt idx="43">
                  <c:v>207.16102647931388</c:v>
                </c:pt>
                <c:pt idx="44">
                  <c:v>208.00752911659794</c:v>
                </c:pt>
                <c:pt idx="45">
                  <c:v>211.34804517509011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438-4794-A61E-0FF641353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5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72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showGridLines="0" tabSelected="1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8" customWidth="1"/>
    <col min="2" max="11" width="19" customWidth="1"/>
  </cols>
  <sheetData>
    <row r="1" spans="1:11" ht="162" x14ac:dyDescent="0.35">
      <c r="A1" s="1" t="s">
        <v>0</v>
      </c>
    </row>
    <row r="2" spans="1:11" ht="192" x14ac:dyDescent="0.35">
      <c r="A2" s="2" t="s">
        <v>1</v>
      </c>
    </row>
    <row r="4" spans="1:11" ht="26" x14ac:dyDescent="0.3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spans="1:11" ht="44" customHeight="1" x14ac:dyDescent="0.35">
      <c r="B5" s="5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20</v>
      </c>
      <c r="K5" s="5" t="s">
        <v>21</v>
      </c>
    </row>
    <row r="6" spans="1:11" x14ac:dyDescent="0.35">
      <c r="B6" s="6" t="s">
        <v>22</v>
      </c>
      <c r="C6" s="6" t="s">
        <v>23</v>
      </c>
      <c r="D6" s="6" t="s">
        <v>24</v>
      </c>
      <c r="E6" s="6" t="s">
        <v>25</v>
      </c>
      <c r="F6" s="6" t="s">
        <v>26</v>
      </c>
      <c r="G6" s="6" t="s">
        <v>27</v>
      </c>
      <c r="H6" s="6" t="s">
        <v>28</v>
      </c>
      <c r="I6" s="6" t="s">
        <v>29</v>
      </c>
      <c r="J6" s="6" t="s">
        <v>30</v>
      </c>
      <c r="K6" s="6" t="s">
        <v>31</v>
      </c>
    </row>
    <row r="7" spans="1:11" x14ac:dyDescent="0.35">
      <c r="A7" s="7">
        <v>1980</v>
      </c>
      <c r="B7" s="8">
        <v>26.552653149535601</v>
      </c>
      <c r="D7" s="8">
        <v>3.831</v>
      </c>
      <c r="E7" s="8">
        <v>4.0873536755076696</v>
      </c>
      <c r="H7" s="9">
        <v>26104498</v>
      </c>
      <c r="I7" s="9">
        <v>86158201122.730103</v>
      </c>
      <c r="J7" s="9">
        <v>3300.5117019576501</v>
      </c>
      <c r="K7" s="9">
        <v>33400735644.0481</v>
      </c>
    </row>
    <row r="8" spans="1:11" x14ac:dyDescent="0.35">
      <c r="A8" s="7">
        <v>1981</v>
      </c>
      <c r="B8" s="8">
        <v>27.453762434799302</v>
      </c>
      <c r="D8" s="8">
        <v>8.1349999999999998</v>
      </c>
      <c r="E8" s="8">
        <v>2.2768727451217798</v>
      </c>
      <c r="H8" s="9">
        <v>26713267</v>
      </c>
      <c r="I8" s="9">
        <v>88119913721.780701</v>
      </c>
      <c r="J8" s="9">
        <v>3298.7321888326401</v>
      </c>
      <c r="K8" s="9">
        <v>36388366869.030899</v>
      </c>
    </row>
    <row r="9" spans="1:11" x14ac:dyDescent="0.35">
      <c r="A9" s="7">
        <v>1982</v>
      </c>
      <c r="B9" s="8">
        <v>24.720988252858501</v>
      </c>
      <c r="D9" s="8">
        <v>9.1</v>
      </c>
      <c r="E9" s="8">
        <v>0.94842078660451501</v>
      </c>
      <c r="H9" s="9">
        <v>27338331</v>
      </c>
      <c r="I9" s="9">
        <v>88955661300.656006</v>
      </c>
      <c r="J9" s="9">
        <v>3253.8804691718801</v>
      </c>
      <c r="K9" s="9">
        <v>38968039721.748001</v>
      </c>
    </row>
    <row r="10" spans="1:11" x14ac:dyDescent="0.35">
      <c r="A10" s="7">
        <v>1983</v>
      </c>
      <c r="B10" s="8">
        <v>19.597317062476399</v>
      </c>
      <c r="D10" s="8">
        <v>11.132999999999999</v>
      </c>
      <c r="E10" s="8">
        <v>1.57395603843689</v>
      </c>
      <c r="H10" s="9">
        <v>27988173</v>
      </c>
      <c r="I10" s="9">
        <v>90355784303.229202</v>
      </c>
      <c r="J10" s="9">
        <v>3228.35593102948</v>
      </c>
      <c r="K10" s="9">
        <v>38729822781.599701</v>
      </c>
    </row>
    <row r="11" spans="1:11" x14ac:dyDescent="0.35">
      <c r="A11" s="7">
        <v>1984</v>
      </c>
      <c r="B11" s="8">
        <v>16.161617136142599</v>
      </c>
      <c r="D11" s="8">
        <v>13.003</v>
      </c>
      <c r="E11" s="8">
        <v>3.3506837394070601</v>
      </c>
      <c r="H11" s="9">
        <v>28642690</v>
      </c>
      <c r="I11" s="9">
        <v>93383320875.491196</v>
      </c>
      <c r="J11" s="9">
        <v>3260.2845918274802</v>
      </c>
      <c r="K11" s="9">
        <v>38253120737.967102</v>
      </c>
    </row>
    <row r="12" spans="1:11" x14ac:dyDescent="0.35">
      <c r="A12" s="7">
        <v>1985</v>
      </c>
      <c r="B12" s="8">
        <v>24.090174368124998</v>
      </c>
      <c r="D12" s="8">
        <v>13.887</v>
      </c>
      <c r="E12" s="8">
        <v>3.1071061957296</v>
      </c>
      <c r="H12" s="9">
        <v>29268470</v>
      </c>
      <c r="I12" s="9">
        <v>96284839824.191605</v>
      </c>
      <c r="J12" s="9">
        <v>3289.7120971540899</v>
      </c>
      <c r="K12" s="9">
        <v>34894411351.983002</v>
      </c>
    </row>
    <row r="13" spans="1:11" x14ac:dyDescent="0.35">
      <c r="A13" s="7">
        <v>1986</v>
      </c>
      <c r="B13" s="8">
        <v>18.842463161240499</v>
      </c>
      <c r="C13" s="8">
        <v>40.220136518771497</v>
      </c>
      <c r="D13" s="8">
        <v>13.042999999999999</v>
      </c>
      <c r="E13" s="8">
        <v>5.8240761374586603</v>
      </c>
      <c r="H13" s="9">
        <v>29879112</v>
      </c>
      <c r="I13" s="9">
        <v>101892542204.383</v>
      </c>
      <c r="J13" s="9">
        <v>3410.15965281641</v>
      </c>
      <c r="K13" s="9">
        <v>34942489683.971199</v>
      </c>
    </row>
    <row r="14" spans="1:11" x14ac:dyDescent="0.35">
      <c r="A14" s="7">
        <v>1987</v>
      </c>
      <c r="B14" s="8">
        <v>23.302028364018</v>
      </c>
      <c r="C14" s="8">
        <v>40.484440273037698</v>
      </c>
      <c r="D14" s="8">
        <v>10.927</v>
      </c>
      <c r="E14" s="8">
        <v>5.3689321482132302</v>
      </c>
      <c r="H14" s="9">
        <v>30499467</v>
      </c>
      <c r="I14" s="9">
        <v>107363083659.42599</v>
      </c>
      <c r="J14" s="9">
        <v>3520.1626198721901</v>
      </c>
      <c r="K14" s="9">
        <v>36373307085.088699</v>
      </c>
    </row>
    <row r="15" spans="1:11" x14ac:dyDescent="0.35">
      <c r="A15" s="7">
        <v>1988</v>
      </c>
      <c r="B15" s="8">
        <v>28.108396977170301</v>
      </c>
      <c r="C15" s="8">
        <v>42.045638225256099</v>
      </c>
      <c r="D15" s="8">
        <v>10.138999999999999</v>
      </c>
      <c r="E15" s="8">
        <v>4.0641732449037598</v>
      </c>
      <c r="H15" s="9">
        <v>31130524</v>
      </c>
      <c r="I15" s="9">
        <v>111726505380.416</v>
      </c>
      <c r="J15" s="9">
        <v>3588.9696357316502</v>
      </c>
      <c r="K15" s="9">
        <v>39212550050.422302</v>
      </c>
    </row>
    <row r="16" spans="1:11" x14ac:dyDescent="0.35">
      <c r="A16" s="7">
        <v>1989</v>
      </c>
      <c r="B16" s="8">
        <v>25.867548083198699</v>
      </c>
      <c r="C16" s="8">
        <v>42.392023890785097</v>
      </c>
      <c r="D16" s="8">
        <v>8.8219999999999992</v>
      </c>
      <c r="E16" s="8">
        <v>3.4140961096659601</v>
      </c>
      <c r="H16" s="9">
        <v>31776279</v>
      </c>
      <c r="I16" s="9">
        <v>115540955654.07401</v>
      </c>
      <c r="J16" s="9">
        <v>3636.0756919988698</v>
      </c>
      <c r="K16" s="9">
        <v>39540080200.393799</v>
      </c>
    </row>
    <row r="17" spans="1:11" x14ac:dyDescent="0.35">
      <c r="A17" s="7">
        <v>1990</v>
      </c>
      <c r="B17" s="8">
        <v>29.152024597621502</v>
      </c>
      <c r="C17" s="8">
        <v>44.569656996587099</v>
      </c>
      <c r="D17" s="8">
        <v>10.151999999999999</v>
      </c>
      <c r="E17" s="8">
        <v>4.2819983305305804</v>
      </c>
      <c r="H17" s="9">
        <v>32440069</v>
      </c>
      <c r="I17" s="9">
        <v>120488417446.261</v>
      </c>
      <c r="J17" s="9">
        <v>3714.1849928328002</v>
      </c>
      <c r="K17" s="9">
        <v>47844090709.990799</v>
      </c>
    </row>
    <row r="18" spans="1:11" x14ac:dyDescent="0.35">
      <c r="A18" s="7">
        <v>1991</v>
      </c>
      <c r="B18" s="8">
        <v>30.387820485443498</v>
      </c>
      <c r="C18" s="8">
        <v>46.420604095563299</v>
      </c>
      <c r="D18" s="8">
        <v>10.124000000000001</v>
      </c>
      <c r="E18" s="8">
        <v>2.0016075955902899</v>
      </c>
      <c r="H18" s="9">
        <v>33098372</v>
      </c>
      <c r="I18" s="9">
        <v>122900122761.67101</v>
      </c>
      <c r="J18" s="9">
        <v>3713.1772753557598</v>
      </c>
      <c r="K18" s="9">
        <v>49175565911.065498</v>
      </c>
    </row>
    <row r="19" spans="1:11" x14ac:dyDescent="0.35">
      <c r="A19" s="7">
        <v>1992</v>
      </c>
      <c r="B19" s="8">
        <v>27.010626623136002</v>
      </c>
      <c r="C19" s="8">
        <v>36.719343003413002</v>
      </c>
      <c r="D19" s="8">
        <v>9.4350000000000005</v>
      </c>
      <c r="E19" s="8">
        <v>4.0449294393355597</v>
      </c>
      <c r="H19" s="9">
        <v>33760571</v>
      </c>
      <c r="I19" s="9">
        <v>127871346008.23801</v>
      </c>
      <c r="J19" s="9">
        <v>3787.5942918216001</v>
      </c>
      <c r="K19" s="9">
        <v>58418985443.3172</v>
      </c>
    </row>
    <row r="20" spans="1:11" x14ac:dyDescent="0.35">
      <c r="A20" s="7">
        <v>1993</v>
      </c>
      <c r="B20" s="8">
        <v>22.442482853327501</v>
      </c>
      <c r="C20" s="8">
        <v>35.276343003412997</v>
      </c>
      <c r="D20" s="8">
        <v>7.8</v>
      </c>
      <c r="E20" s="8">
        <v>5.3854099390102901</v>
      </c>
      <c r="H20" s="9">
        <v>34441473</v>
      </c>
      <c r="I20" s="9">
        <v>134757742185.312</v>
      </c>
      <c r="J20" s="9">
        <v>3912.6590835796001</v>
      </c>
      <c r="K20" s="9">
        <v>66446804802.574699</v>
      </c>
    </row>
    <row r="21" spans="1:11" x14ac:dyDescent="0.35">
      <c r="A21" s="7">
        <v>1994</v>
      </c>
      <c r="B21" s="8">
        <v>22.846241755304401</v>
      </c>
      <c r="C21" s="8">
        <v>39.857334470989798</v>
      </c>
      <c r="D21" s="8">
        <v>7.6</v>
      </c>
      <c r="E21" s="8">
        <v>5.8146619072433596</v>
      </c>
      <c r="H21" s="9">
        <v>35127410</v>
      </c>
      <c r="I21" s="9">
        <v>142593449287.22198</v>
      </c>
      <c r="J21" s="9">
        <v>4059.3214611388198</v>
      </c>
      <c r="K21" s="9">
        <v>81703500846.036407</v>
      </c>
    </row>
    <row r="22" spans="1:11" x14ac:dyDescent="0.35">
      <c r="A22" s="7">
        <v>1995</v>
      </c>
      <c r="B22" s="8">
        <v>20.891793019484901</v>
      </c>
      <c r="C22" s="8">
        <v>42.076008532423302</v>
      </c>
      <c r="D22" s="8">
        <v>8.7200000000000006</v>
      </c>
      <c r="E22" s="8">
        <v>5.2024375927865503</v>
      </c>
      <c r="H22" s="9">
        <v>35804662</v>
      </c>
      <c r="I22" s="9">
        <v>150011784497.79199</v>
      </c>
      <c r="J22" s="9">
        <v>4189.7277091399901</v>
      </c>
      <c r="K22" s="9">
        <v>92507279383.038696</v>
      </c>
    </row>
    <row r="23" spans="1:11" x14ac:dyDescent="0.35">
      <c r="A23" s="7">
        <v>1996</v>
      </c>
      <c r="B23" s="8">
        <v>20.797575512740099</v>
      </c>
      <c r="C23" s="8">
        <v>41.361895904436999</v>
      </c>
      <c r="D23" s="8">
        <v>11.805999999999999</v>
      </c>
      <c r="E23" s="8">
        <v>2.05585471287195</v>
      </c>
      <c r="H23" s="9">
        <v>36462745</v>
      </c>
      <c r="I23" s="9">
        <v>153095808839.25299</v>
      </c>
      <c r="J23" s="9">
        <v>4198.6912625270797</v>
      </c>
      <c r="K23" s="9">
        <v>97160109277.808701</v>
      </c>
    </row>
    <row r="24" spans="1:11" x14ac:dyDescent="0.35">
      <c r="A24" s="7">
        <v>1997</v>
      </c>
      <c r="B24" s="8">
        <v>18.470021711908899</v>
      </c>
      <c r="C24" s="8">
        <v>33.710220136518799</v>
      </c>
      <c r="D24" s="8">
        <v>12.14</v>
      </c>
      <c r="E24" s="8">
        <v>3.4302936778837401</v>
      </c>
      <c r="H24" s="9">
        <v>37121149</v>
      </c>
      <c r="I24" s="9">
        <v>158347444690.97101</v>
      </c>
      <c r="J24" s="9">
        <v>4265.6935185645998</v>
      </c>
      <c r="K24" s="9">
        <v>106659508271.255</v>
      </c>
    </row>
    <row r="25" spans="1:11" x14ac:dyDescent="0.35">
      <c r="A25" s="7">
        <v>1998</v>
      </c>
      <c r="B25" s="8">
        <v>18.676979927667102</v>
      </c>
      <c r="C25" s="8">
        <v>41.604858361774802</v>
      </c>
      <c r="D25" s="8">
        <v>15</v>
      </c>
      <c r="E25" s="8">
        <v>0.569784088434517</v>
      </c>
      <c r="F25" s="8">
        <v>5.4039154911214302</v>
      </c>
      <c r="G25" s="8">
        <v>-3.3846862132336999</v>
      </c>
      <c r="H25" s="9">
        <v>37792165</v>
      </c>
      <c r="I25" s="9">
        <v>159249683235.263</v>
      </c>
      <c r="J25" s="9">
        <v>4213.8280047005101</v>
      </c>
      <c r="K25" s="9">
        <v>98443739941.166397</v>
      </c>
    </row>
    <row r="26" spans="1:11" x14ac:dyDescent="0.35">
      <c r="A26" s="7">
        <v>1999</v>
      </c>
      <c r="B26" s="8">
        <v>10.873687085746999</v>
      </c>
      <c r="C26" s="8">
        <v>29.425800341296899</v>
      </c>
      <c r="D26" s="8">
        <v>20.059999999999999</v>
      </c>
      <c r="E26" s="8">
        <v>-4.2040152424494703</v>
      </c>
      <c r="F26" s="8">
        <v>19.065350870407102</v>
      </c>
      <c r="G26" s="8">
        <v>-6.1130721498045997</v>
      </c>
      <c r="H26" s="9">
        <v>38454863</v>
      </c>
      <c r="I26" s="9">
        <v>152554802278.5</v>
      </c>
      <c r="J26" s="9">
        <v>3967.1133993768099</v>
      </c>
      <c r="K26" s="9">
        <v>86186158684.768494</v>
      </c>
    </row>
    <row r="27" spans="1:11" x14ac:dyDescent="0.35">
      <c r="A27" s="7">
        <v>2000</v>
      </c>
      <c r="B27" s="8">
        <v>9.2253481858536492</v>
      </c>
      <c r="C27" s="8">
        <v>18.786666666666601</v>
      </c>
      <c r="D27" s="8">
        <v>20.523</v>
      </c>
      <c r="E27" s="8">
        <v>2.9248614817677798</v>
      </c>
      <c r="F27" s="8">
        <v>17.7090216802298</v>
      </c>
      <c r="G27" s="8">
        <v>-3.1222951819175102</v>
      </c>
      <c r="H27" s="9">
        <v>39089934</v>
      </c>
      <c r="I27" s="9">
        <v>157016818928.92999</v>
      </c>
      <c r="J27" s="9">
        <v>4016.8095174816699</v>
      </c>
      <c r="K27" s="9">
        <v>99875074951.027802</v>
      </c>
    </row>
    <row r="28" spans="1:11" x14ac:dyDescent="0.35">
      <c r="A28" s="7">
        <v>2001</v>
      </c>
      <c r="B28" s="8">
        <v>7.9655609030483401</v>
      </c>
      <c r="C28" s="8">
        <v>20.72</v>
      </c>
      <c r="D28" s="8">
        <v>15.04</v>
      </c>
      <c r="E28" s="8">
        <v>1.6778983078757901</v>
      </c>
      <c r="H28" s="9">
        <v>39709262</v>
      </c>
      <c r="I28" s="9">
        <v>159651401476.819</v>
      </c>
      <c r="J28" s="9">
        <v>4020.5078975484198</v>
      </c>
      <c r="K28" s="9">
        <v>98200641203.389206</v>
      </c>
    </row>
    <row r="29" spans="1:11" x14ac:dyDescent="0.35">
      <c r="A29" s="7">
        <v>2002</v>
      </c>
      <c r="B29" s="8">
        <v>6.3515072877887198</v>
      </c>
      <c r="C29" s="8">
        <v>16.326798330828701</v>
      </c>
      <c r="D29" s="8">
        <v>14.481</v>
      </c>
      <c r="E29" s="8">
        <v>2.5039804665965901</v>
      </c>
      <c r="H29" s="9">
        <v>40324680</v>
      </c>
      <c r="I29" s="9">
        <v>163649041384.44699</v>
      </c>
      <c r="J29" s="9">
        <v>4058.2849357873802</v>
      </c>
      <c r="K29" s="9">
        <v>97945812802.888199</v>
      </c>
    </row>
    <row r="30" spans="1:11" x14ac:dyDescent="0.35">
      <c r="A30" s="7">
        <v>2003</v>
      </c>
      <c r="B30" s="8">
        <v>7.1297886294186004</v>
      </c>
      <c r="C30" s="8">
        <v>15.187101145087899</v>
      </c>
      <c r="D30" s="8">
        <v>13.221</v>
      </c>
      <c r="E30" s="8">
        <v>3.9182719032251301</v>
      </c>
      <c r="F30" s="8">
        <v>52.535419533378999</v>
      </c>
      <c r="G30" s="8">
        <v>-5.0496700595280597</v>
      </c>
      <c r="H30" s="9">
        <v>40937429</v>
      </c>
      <c r="I30" s="9">
        <v>170061255792.91101</v>
      </c>
      <c r="J30" s="9">
        <v>4154.1752852361797</v>
      </c>
      <c r="K30" s="9">
        <v>94644969157.098694</v>
      </c>
    </row>
    <row r="31" spans="1:11" x14ac:dyDescent="0.35">
      <c r="A31" s="7">
        <v>2004</v>
      </c>
      <c r="B31" s="8">
        <v>5.9040200554650202</v>
      </c>
      <c r="C31" s="8">
        <v>15.083056716888301</v>
      </c>
      <c r="D31" s="8">
        <v>13.717000000000001</v>
      </c>
      <c r="E31" s="8">
        <v>5.3330220675990496</v>
      </c>
      <c r="H31" s="9">
        <v>41543171</v>
      </c>
      <c r="I31" s="9">
        <v>179130660092.78299</v>
      </c>
      <c r="J31" s="9">
        <v>4311.9159125523302</v>
      </c>
      <c r="K31" s="9">
        <v>117092416666.245</v>
      </c>
    </row>
    <row r="32" spans="1:11" x14ac:dyDescent="0.35">
      <c r="A32" s="7">
        <v>2005</v>
      </c>
      <c r="B32" s="8">
        <v>5.0510196268969496</v>
      </c>
      <c r="C32" s="8">
        <v>14.560833333333299</v>
      </c>
      <c r="D32" s="8">
        <v>11.061999999999999</v>
      </c>
      <c r="E32" s="8">
        <v>4.8287611077374102</v>
      </c>
      <c r="H32" s="9">
        <v>42128977</v>
      </c>
      <c r="I32" s="9">
        <v>187780451739.37601</v>
      </c>
      <c r="J32" s="9">
        <v>4457.27537460443</v>
      </c>
      <c r="K32" s="9">
        <v>145600529605.80301</v>
      </c>
    </row>
    <row r="33" spans="1:11" x14ac:dyDescent="0.35">
      <c r="A33" s="7">
        <v>2006</v>
      </c>
      <c r="B33" s="8">
        <v>4.2934236362892602</v>
      </c>
      <c r="C33" s="8">
        <v>12.893913084832</v>
      </c>
      <c r="E33" s="8">
        <v>6.7168686984440198</v>
      </c>
      <c r="H33" s="9">
        <v>42691084</v>
      </c>
      <c r="I33" s="9">
        <v>200393418124.05499</v>
      </c>
      <c r="J33" s="9">
        <v>4694.0344293917497</v>
      </c>
      <c r="K33" s="9">
        <v>161792958904.86401</v>
      </c>
    </row>
    <row r="34" spans="1:11" x14ac:dyDescent="0.35">
      <c r="A34" s="7">
        <v>2007</v>
      </c>
      <c r="B34" s="8">
        <v>5.5443848581515498</v>
      </c>
      <c r="C34" s="8">
        <v>15.381850101101501</v>
      </c>
      <c r="D34" s="8">
        <v>10.252000000000001</v>
      </c>
      <c r="E34" s="8">
        <v>6.7381946909097499</v>
      </c>
      <c r="H34" s="9">
        <v>43235374</v>
      </c>
      <c r="I34" s="9">
        <v>213896316785.02301</v>
      </c>
      <c r="J34" s="9">
        <v>4947.2526081310798</v>
      </c>
      <c r="K34" s="9">
        <v>206229540926.31201</v>
      </c>
    </row>
    <row r="35" spans="1:11" x14ac:dyDescent="0.35">
      <c r="A35" s="7">
        <v>2008</v>
      </c>
      <c r="B35" s="8">
        <v>6.9968849555450996</v>
      </c>
      <c r="C35" s="8">
        <v>17.175623143669601</v>
      </c>
      <c r="D35" s="8">
        <v>10.52</v>
      </c>
      <c r="E35" s="8">
        <v>3.2834461861654098</v>
      </c>
      <c r="F35" s="8">
        <v>65.2450803056946</v>
      </c>
      <c r="G35" s="8">
        <v>-5.72450803056946</v>
      </c>
      <c r="H35" s="9">
        <v>43758808</v>
      </c>
      <c r="I35" s="9">
        <v>220919487240.849</v>
      </c>
      <c r="J35" s="9">
        <v>5048.5718724524904</v>
      </c>
      <c r="K35" s="9">
        <v>242504150472.931</v>
      </c>
    </row>
    <row r="36" spans="1:11" x14ac:dyDescent="0.35">
      <c r="A36" s="7">
        <v>2009</v>
      </c>
      <c r="B36" s="8">
        <v>4.2025166121648097</v>
      </c>
      <c r="C36" s="8">
        <v>13.008074603384101</v>
      </c>
      <c r="D36" s="8">
        <v>11.319000000000001</v>
      </c>
      <c r="E36" s="8">
        <v>1.1396486454806201</v>
      </c>
      <c r="F36" s="8">
        <v>68.999003337493605</v>
      </c>
      <c r="G36" s="8">
        <v>-7.0818387715471696</v>
      </c>
      <c r="H36" s="9">
        <v>44271541</v>
      </c>
      <c r="I36" s="9">
        <v>223437193184.79199</v>
      </c>
      <c r="J36" s="9">
        <v>5046.9712175772702</v>
      </c>
      <c r="K36" s="9">
        <v>232468663109.595</v>
      </c>
    </row>
    <row r="37" spans="1:11" x14ac:dyDescent="0.35">
      <c r="A37" s="7">
        <v>2010</v>
      </c>
      <c r="B37" s="8">
        <v>2.27200227892008</v>
      </c>
      <c r="C37" s="8">
        <v>9.3814899368340097</v>
      </c>
      <c r="D37" s="8">
        <v>11.153</v>
      </c>
      <c r="E37" s="8">
        <v>4.4946589707092199</v>
      </c>
      <c r="F37" s="8">
        <v>72.452669926111099</v>
      </c>
      <c r="G37" s="8">
        <v>-4.5601181854942503</v>
      </c>
      <c r="H37" s="9">
        <v>44777319</v>
      </c>
      <c r="I37" s="9">
        <v>233479933032.173</v>
      </c>
      <c r="J37" s="9">
        <v>5214.2454762013103</v>
      </c>
      <c r="K37" s="9">
        <v>286498534094.96301</v>
      </c>
    </row>
    <row r="38" spans="1:11" x14ac:dyDescent="0.35">
      <c r="A38" s="7">
        <v>2011</v>
      </c>
      <c r="B38" s="8">
        <v>3.4150334477625002</v>
      </c>
      <c r="C38" s="8">
        <v>11.2199184470583</v>
      </c>
      <c r="D38" s="8">
        <v>10.288</v>
      </c>
      <c r="E38" s="8">
        <v>6.94789198173555</v>
      </c>
      <c r="F38" s="8">
        <v>62.860132822205301</v>
      </c>
      <c r="G38" s="8">
        <v>-1.07075617545713</v>
      </c>
      <c r="H38" s="9">
        <v>45259614</v>
      </c>
      <c r="I38" s="9">
        <v>249701866578.27701</v>
      </c>
      <c r="J38" s="9">
        <v>5517.1011086898998</v>
      </c>
      <c r="K38" s="9">
        <v>334966134804.88702</v>
      </c>
    </row>
    <row r="39" spans="1:11" x14ac:dyDescent="0.35">
      <c r="A39" s="7">
        <v>2012</v>
      </c>
      <c r="B39" s="8">
        <v>3.1693018884005499</v>
      </c>
      <c r="C39" s="8">
        <v>12.585040204924701</v>
      </c>
      <c r="D39" s="8">
        <v>9.9589999999999996</v>
      </c>
      <c r="E39" s="8">
        <v>3.91263576716115</v>
      </c>
      <c r="F39" s="8">
        <v>65.227695883164003</v>
      </c>
      <c r="G39" s="8">
        <v>2.7655928564891301</v>
      </c>
      <c r="H39" s="9">
        <v>45715810</v>
      </c>
      <c r="I39" s="9">
        <v>259471791121.28799</v>
      </c>
      <c r="J39" s="9">
        <v>5675.7561797830504</v>
      </c>
      <c r="K39" s="9">
        <v>370691143018.039</v>
      </c>
    </row>
    <row r="40" spans="1:11" x14ac:dyDescent="0.35">
      <c r="A40" s="7">
        <v>2013</v>
      </c>
      <c r="B40" s="8">
        <v>2.0169922431038301</v>
      </c>
      <c r="C40" s="8">
        <v>10.9855861710036</v>
      </c>
      <c r="D40" s="8">
        <v>9.2460000000000004</v>
      </c>
      <c r="E40" s="8">
        <v>5.1339935199567197</v>
      </c>
      <c r="F40" s="8">
        <v>67.102911945642902</v>
      </c>
      <c r="G40" s="8">
        <v>-5.5346956208785096</v>
      </c>
      <c r="H40" s="9">
        <v>46151584</v>
      </c>
      <c r="I40" s="9">
        <v>272793056063.57001</v>
      </c>
      <c r="J40" s="9">
        <v>5910.8059230116596</v>
      </c>
      <c r="K40" s="9">
        <v>382093697077.685</v>
      </c>
    </row>
    <row r="41" spans="1:11" x14ac:dyDescent="0.35">
      <c r="A41" s="7">
        <v>2014</v>
      </c>
      <c r="B41" s="8">
        <v>2.8988378776173702</v>
      </c>
      <c r="C41" s="8">
        <v>10.867335037612699</v>
      </c>
      <c r="D41" s="8">
        <v>8.7989999999999995</v>
      </c>
      <c r="E41" s="8">
        <v>4.4990300011097197</v>
      </c>
      <c r="F41" s="8">
        <v>47.9761695160459</v>
      </c>
      <c r="G41" s="8">
        <v>-4.1668121898389403</v>
      </c>
      <c r="H41" s="9">
        <v>46565429</v>
      </c>
      <c r="I41" s="9">
        <v>285066097496.81403</v>
      </c>
      <c r="J41" s="9">
        <v>6121.83982019825</v>
      </c>
      <c r="K41" s="9">
        <v>381240864422.40698</v>
      </c>
    </row>
    <row r="42" spans="1:11" x14ac:dyDescent="0.35">
      <c r="A42" s="7">
        <v>2015</v>
      </c>
      <c r="B42" s="8">
        <v>4.9898311584952904</v>
      </c>
      <c r="C42" s="8">
        <v>11.4499872575296</v>
      </c>
      <c r="D42" s="8">
        <v>8.5719999999999992</v>
      </c>
      <c r="E42" s="8">
        <v>2.9559013752752299</v>
      </c>
      <c r="F42" s="8">
        <v>53.278587473716698</v>
      </c>
      <c r="G42" s="8">
        <v>-1.4073861918583801</v>
      </c>
      <c r="H42" s="9">
        <v>46969940</v>
      </c>
      <c r="I42" s="9">
        <v>293492370193.16602</v>
      </c>
      <c r="J42" s="9">
        <v>6248.5149053451196</v>
      </c>
      <c r="K42" s="9">
        <v>293492370193.16602</v>
      </c>
    </row>
    <row r="43" spans="1:11" x14ac:dyDescent="0.35">
      <c r="A43" s="7">
        <v>2016</v>
      </c>
      <c r="B43" s="8">
        <v>7.5134602462767397</v>
      </c>
      <c r="C43" s="8">
        <v>14.6454318106769</v>
      </c>
      <c r="D43" s="8">
        <v>8.9220000000000006</v>
      </c>
      <c r="E43" s="8">
        <v>2.0873825016279399</v>
      </c>
      <c r="F43" s="8">
        <v>66.907160912506498</v>
      </c>
      <c r="G43" s="8">
        <v>-3.0428624195889702</v>
      </c>
      <c r="H43" s="9">
        <v>47437512</v>
      </c>
      <c r="I43" s="9">
        <v>299618678572.19098</v>
      </c>
      <c r="J43" s="9">
        <v>6316.0706778254198</v>
      </c>
      <c r="K43" s="9">
        <v>282720100286.22803</v>
      </c>
    </row>
    <row r="44" spans="1:11" x14ac:dyDescent="0.35">
      <c r="A44" s="7">
        <v>2017</v>
      </c>
      <c r="B44" s="8">
        <v>4.3143132569500997</v>
      </c>
      <c r="C44" s="8">
        <v>13.685830318481701</v>
      </c>
      <c r="D44" s="8">
        <v>9.0860000000000003</v>
      </c>
      <c r="E44" s="8">
        <v>1.35936086788746</v>
      </c>
      <c r="F44" s="8">
        <v>66.727247847214599</v>
      </c>
      <c r="G44" s="8">
        <v>-2.1982440958872602</v>
      </c>
      <c r="H44" s="9">
        <v>48131078</v>
      </c>
      <c r="I44" s="9">
        <v>303691577641.58301</v>
      </c>
      <c r="J44" s="9">
        <v>6309.6774529251798</v>
      </c>
      <c r="K44" s="9">
        <v>311866875156.87903</v>
      </c>
    </row>
    <row r="45" spans="1:11" x14ac:dyDescent="0.35">
      <c r="A45" s="7">
        <v>2018</v>
      </c>
      <c r="B45" s="8">
        <v>3.2405693293056901</v>
      </c>
      <c r="C45" s="8">
        <v>12.1148777449182</v>
      </c>
      <c r="D45" s="8">
        <v>9.36</v>
      </c>
      <c r="E45" s="8">
        <v>2.5643242827770401</v>
      </c>
      <c r="F45" s="8">
        <v>71.650570248105595</v>
      </c>
      <c r="G45" s="8">
        <v>-2.6132067467831099</v>
      </c>
      <c r="H45" s="9">
        <v>49024465</v>
      </c>
      <c r="I45" s="9">
        <v>311479214511.79498</v>
      </c>
      <c r="J45" s="9">
        <v>6353.5464285392</v>
      </c>
      <c r="K45" s="9">
        <v>334198218098.276</v>
      </c>
    </row>
    <row r="46" spans="1:11" x14ac:dyDescent="0.35">
      <c r="A46" s="7">
        <v>2019</v>
      </c>
      <c r="B46" s="8">
        <v>3.5230193274144601</v>
      </c>
      <c r="C46" s="8">
        <v>11.7690653821826</v>
      </c>
      <c r="D46" s="8">
        <v>10.28</v>
      </c>
      <c r="E46" s="8">
        <v>3.18685539245533</v>
      </c>
      <c r="F46" s="8">
        <v>72.703878577082193</v>
      </c>
      <c r="G46" s="8">
        <v>-2.23798643665382</v>
      </c>
      <c r="H46" s="9">
        <v>49907985</v>
      </c>
      <c r="I46" s="9">
        <v>321405606655.84198</v>
      </c>
      <c r="J46" s="9">
        <v>6439.9635981264701</v>
      </c>
      <c r="K46" s="9">
        <v>323031701192.84003</v>
      </c>
    </row>
    <row r="47" spans="1:11" x14ac:dyDescent="0.35">
      <c r="A47" s="7">
        <v>2020</v>
      </c>
      <c r="B47" s="8">
        <v>2.5266350008470599</v>
      </c>
      <c r="C47" s="8">
        <v>9.8505242512901408</v>
      </c>
      <c r="D47" s="8">
        <v>15.568</v>
      </c>
      <c r="E47" s="8">
        <v>-7.1859141376085898</v>
      </c>
      <c r="F47" s="8">
        <v>91.156606944973603</v>
      </c>
      <c r="G47" s="8">
        <v>-8.5155335790828808</v>
      </c>
      <c r="H47" s="9">
        <v>50629997</v>
      </c>
      <c r="I47" s="9">
        <v>298309675728.09302</v>
      </c>
      <c r="J47" s="9">
        <v>5891.9552321540305</v>
      </c>
      <c r="K47" s="9">
        <v>270348342541.465</v>
      </c>
    </row>
    <row r="48" spans="1:11" x14ac:dyDescent="0.35">
      <c r="A48" s="7">
        <v>2021</v>
      </c>
      <c r="B48" s="8">
        <v>3.49505757399448</v>
      </c>
      <c r="C48" s="8">
        <v>9.33784840910009</v>
      </c>
      <c r="D48" s="8">
        <v>13.898</v>
      </c>
      <c r="E48" s="8">
        <v>10.801198190487799</v>
      </c>
      <c r="F48" s="8">
        <v>80.425961603710604</v>
      </c>
      <c r="G48" s="8">
        <v>-7.6539447454516099</v>
      </c>
      <c r="H48" s="9">
        <v>51188173</v>
      </c>
      <c r="I48" s="9">
        <v>330530695024.88599</v>
      </c>
      <c r="J48" s="9">
        <v>6457.1692180708596</v>
      </c>
      <c r="K48" s="9">
        <v>318524633225.39502</v>
      </c>
    </row>
    <row r="49" spans="1:11" x14ac:dyDescent="0.35">
      <c r="A49" s="7">
        <v>2022</v>
      </c>
      <c r="B49" s="8">
        <v>10.1772313546166</v>
      </c>
      <c r="C49" s="8">
        <v>15.807508870630301</v>
      </c>
      <c r="D49" s="8">
        <v>10.541</v>
      </c>
      <c r="E49" s="8">
        <v>7.3282772942797898</v>
      </c>
      <c r="F49" s="8">
        <v>70.261159986428297</v>
      </c>
      <c r="G49" s="8">
        <v>-5.2992905123351699</v>
      </c>
      <c r="H49" s="9">
        <v>51737944</v>
      </c>
      <c r="I49" s="9">
        <v>354752900899.02002</v>
      </c>
      <c r="J49" s="9">
        <v>6856.7259050537396</v>
      </c>
      <c r="K49" s="9">
        <v>345632492851.448</v>
      </c>
    </row>
    <row r="50" spans="1:11" x14ac:dyDescent="0.35">
      <c r="A50" s="7">
        <v>2023</v>
      </c>
      <c r="B50" s="8">
        <v>11.735904494868899</v>
      </c>
      <c r="C50" s="8">
        <v>21.030636830486198</v>
      </c>
      <c r="D50" s="8">
        <v>9.5909999999999993</v>
      </c>
      <c r="E50" s="8">
        <v>0.84181955575203904</v>
      </c>
      <c r="F50" s="8">
        <v>71.212717305866903</v>
      </c>
      <c r="G50" s="8">
        <v>-2.03759328855817</v>
      </c>
      <c r="H50" s="9">
        <v>52321152</v>
      </c>
      <c r="I50" s="9">
        <v>357739280193.38501</v>
      </c>
      <c r="J50" s="9">
        <v>6837.3739208453399</v>
      </c>
      <c r="K50" s="9">
        <v>366901643683.302</v>
      </c>
    </row>
    <row r="51" spans="1:11" x14ac:dyDescent="0.35">
      <c r="A51" s="7">
        <v>2024</v>
      </c>
      <c r="B51" s="8">
        <v>6.6090859372822797</v>
      </c>
      <c r="C51" s="8">
        <v>16.374422638009101</v>
      </c>
      <c r="D51" s="8">
        <v>9.6189999999999998</v>
      </c>
      <c r="E51" s="8">
        <v>1.4933072877106599</v>
      </c>
      <c r="F51" s="8">
        <v>71.196537118128802</v>
      </c>
      <c r="G51" s="8">
        <v>-4.6359902172821599</v>
      </c>
      <c r="H51" s="9">
        <v>52886363</v>
      </c>
      <c r="I51" s="9">
        <v>363081426935.51703</v>
      </c>
      <c r="J51" s="9">
        <v>6865.3128394462801</v>
      </c>
      <c r="K51" s="9">
        <v>420504033143.211</v>
      </c>
    </row>
    <row r="52" spans="1:11" x14ac:dyDescent="0.35">
      <c r="A52" s="7">
        <v>2025</v>
      </c>
      <c r="B52" s="8">
        <v>5.1422291194620096</v>
      </c>
      <c r="C52" s="8">
        <v>14.3114389316572</v>
      </c>
      <c r="D52" s="8">
        <v>8.4280000000000008</v>
      </c>
      <c r="E52" s="8">
        <v>2.64201548985928</v>
      </c>
      <c r="H52" s="9">
        <v>53425635</v>
      </c>
      <c r="I52" s="9">
        <v>372674094475.95502</v>
      </c>
      <c r="J52" s="9">
        <v>6975.5669628625901</v>
      </c>
      <c r="K52" s="9">
        <v>457410034202.52301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showGridLines="0" workbookViewId="0"/>
  </sheetViews>
  <sheetFormatPr defaultRowHeight="14.5" x14ac:dyDescent="0.35"/>
  <cols>
    <col min="1" max="1" width="70" customWidth="1"/>
    <col min="2" max="6" width="14" customWidth="1"/>
  </cols>
  <sheetData>
    <row r="1" spans="1:6" ht="18" x14ac:dyDescent="0.35">
      <c r="A1" s="1" t="s">
        <v>32</v>
      </c>
    </row>
    <row r="2" spans="1:6" x14ac:dyDescent="0.35">
      <c r="A2" s="2" t="s">
        <v>33</v>
      </c>
    </row>
    <row r="4" spans="1:6" x14ac:dyDescent="0.35">
      <c r="A4" s="3" t="s">
        <v>34</v>
      </c>
      <c r="B4" s="4" t="s">
        <v>35</v>
      </c>
      <c r="C4" s="4" t="s">
        <v>36</v>
      </c>
      <c r="D4" s="4" t="s">
        <v>37</v>
      </c>
      <c r="E4" s="4" t="s">
        <v>38</v>
      </c>
      <c r="F4" s="4" t="s">
        <v>39</v>
      </c>
    </row>
    <row r="5" spans="1:6" x14ac:dyDescent="0.35">
      <c r="A5" s="10" t="s">
        <v>40</v>
      </c>
      <c r="B5" s="11">
        <f>IFERROR(AVERAGEIFS(Data!$B$7:$B$52,Data!$A$7:$A$52,"&gt;=1980",Data!$A$7:$A$52,"&lt;=1989"),"n/a")</f>
        <v>23.469694898956487</v>
      </c>
      <c r="C5" s="11">
        <f>IFERROR(AVERAGEIFS(Data!$B$7:$B$52,Data!$A$7:$A$52,"&gt;=1990",Data!$A$7:$A$52,"&lt;=1999"),"n/a")</f>
        <v>22.154925357238096</v>
      </c>
      <c r="D5" s="11">
        <f>IFERROR(AVERAGEIFS(Data!$B$7:$B$52,Data!$A$7:$A$52,"&gt;=2000",Data!$A$7:$A$52,"&lt;=2009"),"n/a")</f>
        <v>6.2664454750622003</v>
      </c>
      <c r="E5" s="11">
        <f>IFERROR(AVERAGEIFS(Data!$B$7:$B$52,Data!$A$7:$A$52,"&gt;=2010",Data!$A$7:$A$52,"&lt;=2019"),"n/a")</f>
        <v>3.7353361054246612</v>
      </c>
      <c r="F5" s="11">
        <f>IFERROR(AVERAGEIFS(Data!$B$7:$B$52,Data!$A$7:$A$52,"&gt;=2020",Data!$A$7:$A$52,"&lt;=2025"),"n/a")</f>
        <v>6.6143572468452208</v>
      </c>
    </row>
    <row r="6" spans="1:6" x14ac:dyDescent="0.35">
      <c r="A6" s="10" t="s">
        <v>41</v>
      </c>
      <c r="B6" s="11">
        <f>IFERROR(AVERAGEIFS(Data!$C$7:$C$52,Data!$A$7:$A$52,"&gt;=1980",Data!$A$7:$A$52,"&lt;=1989"),"n/a")</f>
        <v>41.285559726962596</v>
      </c>
      <c r="C6" s="11">
        <f>IFERROR(AVERAGEIFS(Data!$C$7:$C$52,Data!$A$7:$A$52,"&gt;=1990",Data!$A$7:$A$52,"&lt;=1999"),"n/a")</f>
        <v>39.102206484641698</v>
      </c>
      <c r="D6" s="11">
        <f>IFERROR(AVERAGEIFS(Data!$C$7:$C$52,Data!$A$7:$A$52,"&gt;=2000",Data!$A$7:$A$52,"&lt;=2009"),"n/a")</f>
        <v>15.912391712579202</v>
      </c>
      <c r="E6" s="11">
        <f>IFERROR(AVERAGEIFS(Data!$C$7:$C$52,Data!$A$7:$A$52,"&gt;=2010",Data!$A$7:$A$52,"&lt;=2019"),"n/a")</f>
        <v>11.870456231122231</v>
      </c>
      <c r="F6" s="11">
        <f>IFERROR(AVERAGEIFS(Data!$C$7:$C$52,Data!$A$7:$A$52,"&gt;=2020",Data!$A$7:$A$52,"&lt;=2025"),"n/a")</f>
        <v>14.45206332186217</v>
      </c>
    </row>
    <row r="7" spans="1:6" x14ac:dyDescent="0.35">
      <c r="A7" s="10" t="s">
        <v>42</v>
      </c>
      <c r="B7" s="11">
        <f>IFERROR(AVERAGEIFS(Data!$D$7:$D$52,Data!$A$7:$A$52,"&gt;=1980",Data!$A$7:$A$52,"&lt;=1989"),"n/a")</f>
        <v>10.202</v>
      </c>
      <c r="C7" s="11">
        <f>IFERROR(AVERAGEIFS(Data!$D$7:$D$52,Data!$A$7:$A$52,"&gt;=1990",Data!$A$7:$A$52,"&lt;=1999"),"n/a")</f>
        <v>11.2837</v>
      </c>
      <c r="D7" s="11">
        <f>IFERROR(AVERAGEIFS(Data!$D$7:$D$52,Data!$A$7:$A$52,"&gt;=2000",Data!$A$7:$A$52,"&lt;=2009"),"n/a")</f>
        <v>13.348333333333333</v>
      </c>
      <c r="E7" s="11">
        <f>IFERROR(AVERAGEIFS(Data!$D$7:$D$52,Data!$A$7:$A$52,"&gt;=2010",Data!$A$7:$A$52,"&lt;=2019"),"n/a")</f>
        <v>9.5664999999999996</v>
      </c>
      <c r="F7" s="11">
        <f>IFERROR(AVERAGEIFS(Data!$D$7:$D$52,Data!$A$7:$A$52,"&gt;=2020",Data!$A$7:$A$52,"&lt;=2025"),"n/a")</f>
        <v>11.274166666666668</v>
      </c>
    </row>
    <row r="8" spans="1:6" x14ac:dyDescent="0.35">
      <c r="A8" s="10" t="s">
        <v>43</v>
      </c>
      <c r="B8" s="11">
        <f>IFERROR(AVERAGEIFS(Data!$E$7:$E$52,Data!$A$7:$A$52,"&gt;=1980",Data!$A$7:$A$52,"&lt;=1989"),"n/a")</f>
        <v>3.4015670821049127</v>
      </c>
      <c r="C8" s="11">
        <f>IFERROR(AVERAGEIFS(Data!$E$7:$E$52,Data!$A$7:$A$52,"&gt;=1990",Data!$A$7:$A$52,"&lt;=1999"),"n/a")</f>
        <v>2.8582962041237359</v>
      </c>
      <c r="D8" s="11">
        <f>IFERROR(AVERAGEIFS(Data!$E$7:$E$52,Data!$A$7:$A$52,"&gt;=2000",Data!$A$7:$A$52,"&lt;=2009"),"n/a")</f>
        <v>3.9064953555801551</v>
      </c>
      <c r="E8" s="11">
        <f>IFERROR(AVERAGEIFS(Data!$E$7:$E$52,Data!$A$7:$A$52,"&gt;=2010",Data!$A$7:$A$52,"&lt;=2019"),"n/a")</f>
        <v>3.7142034660695358</v>
      </c>
      <c r="F8" s="11">
        <f>IFERROR(AVERAGEIFS(Data!$E$7:$E$52,Data!$A$7:$A$52,"&gt;=2020",Data!$A$7:$A$52,"&lt;=2025"),"n/a")</f>
        <v>2.6534506134134968</v>
      </c>
    </row>
    <row r="9" spans="1:6" x14ac:dyDescent="0.35">
      <c r="A9" s="10" t="s">
        <v>44</v>
      </c>
      <c r="B9" s="11" t="str">
        <f>IFERROR(AVERAGEIFS(Data!$F$7:$F$52,Data!$A$7:$A$52,"&gt;=1980",Data!$A$7:$A$52,"&lt;=1989"),"n/a")</f>
        <v>n/a</v>
      </c>
      <c r="C9" s="11">
        <f>IFERROR(AVERAGEIFS(Data!$F$7:$F$52,Data!$A$7:$A$52,"&gt;=1990",Data!$A$7:$A$52,"&lt;=1999"),"n/a")</f>
        <v>12.234633180764266</v>
      </c>
      <c r="D9" s="11">
        <f>IFERROR(AVERAGEIFS(Data!$F$7:$F$52,Data!$A$7:$A$52,"&gt;=2000",Data!$A$7:$A$52,"&lt;=2009"),"n/a")</f>
        <v>51.12213121419925</v>
      </c>
      <c r="E9" s="11">
        <f>IFERROR(AVERAGEIFS(Data!$F$7:$F$52,Data!$A$7:$A$52,"&gt;=2010",Data!$A$7:$A$52,"&lt;=2019"),"n/a")</f>
        <v>64.688702515179472</v>
      </c>
      <c r="F9" s="11">
        <f>IFERROR(AVERAGEIFS(Data!$F$7:$F$52,Data!$A$7:$A$52,"&gt;=2020",Data!$A$7:$A$52,"&lt;=2025"),"n/a")</f>
        <v>76.850596591821642</v>
      </c>
    </row>
    <row r="10" spans="1:6" x14ac:dyDescent="0.35">
      <c r="A10" s="10" t="s">
        <v>45</v>
      </c>
      <c r="B10" s="11" t="str">
        <f>IFERROR(AVERAGEIFS(Data!$G$7:$G$52,Data!$A$7:$A$52,"&gt;=1980",Data!$A$7:$A$52,"&lt;=1989"),"n/a")</f>
        <v>n/a</v>
      </c>
      <c r="C10" s="11">
        <f>IFERROR(AVERAGEIFS(Data!$G$7:$G$52,Data!$A$7:$A$52,"&gt;=1990",Data!$A$7:$A$52,"&lt;=1999"),"n/a")</f>
        <v>-4.7488791815191496</v>
      </c>
      <c r="D10" s="11">
        <f>IFERROR(AVERAGEIFS(Data!$G$7:$G$52,Data!$A$7:$A$52,"&gt;=2000",Data!$A$7:$A$52,"&lt;=2009"),"n/a")</f>
        <v>-5.2445780108905495</v>
      </c>
      <c r="E10" s="11">
        <f>IFERROR(AVERAGEIFS(Data!$G$7:$G$52,Data!$A$7:$A$52,"&gt;=2010",Data!$A$7:$A$52,"&lt;=2019"),"n/a")</f>
        <v>-2.4066475205951243</v>
      </c>
      <c r="F10" s="11">
        <f>IFERROR(AVERAGEIFS(Data!$G$7:$G$52,Data!$A$7:$A$52,"&gt;=2020",Data!$A$7:$A$52,"&lt;=2025"),"n/a")</f>
        <v>-5.6284704685419982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"/>
  <sheetViews>
    <sheetView showGridLines="0" workbookViewId="0"/>
  </sheetViews>
  <sheetFormatPr defaultRowHeight="14.5" x14ac:dyDescent="0.35"/>
  <cols>
    <col min="1" max="1" width="8" customWidth="1"/>
    <col min="2" max="4" width="20" customWidth="1"/>
  </cols>
  <sheetData>
    <row r="1" spans="1:4" ht="144" x14ac:dyDescent="0.35">
      <c r="A1" s="1" t="s">
        <v>46</v>
      </c>
    </row>
    <row r="2" spans="1:4" ht="192" x14ac:dyDescent="0.35">
      <c r="A2" s="2" t="s">
        <v>47</v>
      </c>
    </row>
    <row r="4" spans="1:4" x14ac:dyDescent="0.35">
      <c r="A4" s="3" t="s">
        <v>2</v>
      </c>
      <c r="B4" s="4" t="s">
        <v>9</v>
      </c>
      <c r="C4" s="4" t="s">
        <v>10</v>
      </c>
      <c r="D4" s="4" t="s">
        <v>11</v>
      </c>
    </row>
    <row r="5" spans="1:4" x14ac:dyDescent="0.35">
      <c r="A5" s="7">
        <v>1980</v>
      </c>
      <c r="B5" s="11">
        <f>Data!H7/Data!H$7*100</f>
        <v>100</v>
      </c>
      <c r="C5" s="11">
        <f>Data!I7/Data!I$7*100</f>
        <v>100</v>
      </c>
      <c r="D5" s="11">
        <f>Data!J7/Data!J$7*100</f>
        <v>100</v>
      </c>
    </row>
    <row r="6" spans="1:4" x14ac:dyDescent="0.35">
      <c r="A6" s="7">
        <v>1981</v>
      </c>
      <c r="B6" s="11">
        <f>Data!H8/Data!H$7*100</f>
        <v>102.33204637760129</v>
      </c>
      <c r="C6" s="11">
        <f>Data!I8/Data!I$7*100</f>
        <v>102.27687274512172</v>
      </c>
      <c r="D6" s="11">
        <f>Data!J8/Data!J$7*100</f>
        <v>99.946083720171202</v>
      </c>
    </row>
    <row r="7" spans="1:4" x14ac:dyDescent="0.35">
      <c r="A7" s="7">
        <v>1982</v>
      </c>
      <c r="B7" s="11">
        <f>Data!H9/Data!H$7*100</f>
        <v>104.72651494773046</v>
      </c>
      <c r="C7" s="11">
        <f>Data!I9/Data!I$7*100</f>
        <v>103.24688786612548</v>
      </c>
      <c r="D7" s="11">
        <f>Data!J9/Data!J$7*100</f>
        <v>98.587151417820721</v>
      </c>
    </row>
    <row r="8" spans="1:4" x14ac:dyDescent="0.35">
      <c r="A8" s="7">
        <v>1983</v>
      </c>
      <c r="B8" s="11">
        <f>Data!H10/Data!H$7*100</f>
        <v>107.21590202577349</v>
      </c>
      <c r="C8" s="11">
        <f>Data!I10/Data!I$7*100</f>
        <v>104.87194849219259</v>
      </c>
      <c r="D8" s="11">
        <f>Data!J10/Data!J$7*100</f>
        <v>97.813800481744323</v>
      </c>
    </row>
    <row r="9" spans="1:4" x14ac:dyDescent="0.35">
      <c r="A9" s="7">
        <v>1984</v>
      </c>
      <c r="B9" s="11">
        <f>Data!H11/Data!H$7*100</f>
        <v>109.72319789486087</v>
      </c>
      <c r="C9" s="11">
        <f>Data!I11/Data!I$7*100</f>
        <v>108.38587581751979</v>
      </c>
      <c r="D9" s="11">
        <f>Data!J11/Data!J$7*100</f>
        <v>98.781185653536397</v>
      </c>
    </row>
    <row r="10" spans="1:4" x14ac:dyDescent="0.35">
      <c r="A10" s="7">
        <v>1985</v>
      </c>
      <c r="B10" s="11">
        <f>Data!H12/Data!H$7*100</f>
        <v>112.12040928731899</v>
      </c>
      <c r="C10" s="11">
        <f>Data!I12/Data!I$7*100</f>
        <v>111.75354008034171</v>
      </c>
      <c r="D10" s="11">
        <f>Data!J12/Data!J$7*100</f>
        <v>99.672789985954154</v>
      </c>
    </row>
    <row r="11" spans="1:4" x14ac:dyDescent="0.35">
      <c r="A11" s="7">
        <v>1986</v>
      </c>
      <c r="B11" s="11">
        <f>Data!H13/Data!H$7*100</f>
        <v>114.45963067361036</v>
      </c>
      <c r="C11" s="11">
        <f>Data!I13/Data!I$7*100</f>
        <v>118.26215134092659</v>
      </c>
      <c r="D11" s="11">
        <f>Data!J13/Data!J$7*100</f>
        <v>103.32215004096861</v>
      </c>
    </row>
    <row r="12" spans="1:4" x14ac:dyDescent="0.35">
      <c r="A12" s="7">
        <v>1987</v>
      </c>
      <c r="B12" s="11">
        <f>Data!H14/Data!H$7*100</f>
        <v>116.83606020694211</v>
      </c>
      <c r="C12" s="11">
        <f>Data!I14/Data!I$7*100</f>
        <v>124.61156600343837</v>
      </c>
      <c r="D12" s="11">
        <f>Data!J14/Data!J$7*100</f>
        <v>106.65505648061351</v>
      </c>
    </row>
    <row r="13" spans="1:4" x14ac:dyDescent="0.35">
      <c r="A13" s="7">
        <v>1988</v>
      </c>
      <c r="B13" s="11">
        <f>Data!H15/Data!H$7*100</f>
        <v>119.25348650642506</v>
      </c>
      <c r="C13" s="11">
        <f>Data!I15/Data!I$7*100</f>
        <v>129.67599592900567</v>
      </c>
      <c r="D13" s="11">
        <f>Data!J15/Data!J$7*100</f>
        <v>108.73979430531652</v>
      </c>
    </row>
    <row r="14" spans="1:4" x14ac:dyDescent="0.35">
      <c r="A14" s="7">
        <v>1989</v>
      </c>
      <c r="B14" s="11">
        <f>Data!H16/Data!H$7*100</f>
        <v>121.7272172788</v>
      </c>
      <c r="C14" s="11">
        <f>Data!I16/Data!I$7*100</f>
        <v>134.10325906118786</v>
      </c>
      <c r="D14" s="11">
        <f>Data!J16/Data!J$7*100</f>
        <v>110.1670292470766</v>
      </c>
    </row>
    <row r="15" spans="1:4" x14ac:dyDescent="0.35">
      <c r="A15" s="7">
        <v>1990</v>
      </c>
      <c r="B15" s="11">
        <f>Data!H17/Data!H$7*100</f>
        <v>124.27003576165303</v>
      </c>
      <c r="C15" s="11">
        <f>Data!I17/Data!I$7*100</f>
        <v>139.84555837537556</v>
      </c>
      <c r="D15" s="11">
        <f>Data!J17/Data!J$7*100</f>
        <v>112.53361079222309</v>
      </c>
    </row>
    <row r="16" spans="1:4" x14ac:dyDescent="0.35">
      <c r="A16" s="7">
        <v>1991</v>
      </c>
      <c r="B16" s="11">
        <f>Data!H18/Data!H$7*100</f>
        <v>126.79183487841827</v>
      </c>
      <c r="C16" s="11">
        <f>Data!I18/Data!I$7*100</f>
        <v>142.6447176939117</v>
      </c>
      <c r="D16" s="11">
        <f>Data!J18/Data!J$7*100</f>
        <v>112.50307863333262</v>
      </c>
    </row>
    <row r="17" spans="1:4" x14ac:dyDescent="0.35">
      <c r="A17" s="7">
        <v>1992</v>
      </c>
      <c r="B17" s="11">
        <f>Data!H19/Data!H$7*100</f>
        <v>129.32855862618004</v>
      </c>
      <c r="C17" s="11">
        <f>Data!I19/Data!I$7*100</f>
        <v>148.41459587357056</v>
      </c>
      <c r="D17" s="11">
        <f>Data!J19/Data!J$7*100</f>
        <v>114.7577901200909</v>
      </c>
    </row>
    <row r="18" spans="1:4" x14ac:dyDescent="0.35">
      <c r="A18" s="7">
        <v>1993</v>
      </c>
      <c r="B18" s="11">
        <f>Data!H20/Data!H$7*100</f>
        <v>131.93692903039164</v>
      </c>
      <c r="C18" s="11">
        <f>Data!I20/Data!I$7*100</f>
        <v>156.40733027068791</v>
      </c>
      <c r="D18" s="11">
        <f>Data!J20/Data!J$7*100</f>
        <v>118.5470447282118</v>
      </c>
    </row>
    <row r="19" spans="1:4" x14ac:dyDescent="0.35">
      <c r="A19" s="7">
        <v>1994</v>
      </c>
      <c r="B19" s="11">
        <f>Data!H21/Data!H$7*100</f>
        <v>134.5645872983269</v>
      </c>
      <c r="C19" s="11">
        <f>Data!I21/Data!I$7*100</f>
        <v>165.50188772407324</v>
      </c>
      <c r="D19" s="11">
        <f>Data!J21/Data!J$7*100</f>
        <v>122.99067016581378</v>
      </c>
    </row>
    <row r="20" spans="1:4" x14ac:dyDescent="0.35">
      <c r="A20" s="7">
        <v>1995</v>
      </c>
      <c r="B20" s="11">
        <f>Data!H22/Data!H$7*100</f>
        <v>137.15897543787281</v>
      </c>
      <c r="C20" s="11">
        <f>Data!I22/Data!I$7*100</f>
        <v>174.11202014780244</v>
      </c>
      <c r="D20" s="11">
        <f>Data!J22/Data!J$7*100</f>
        <v>126.941761989661</v>
      </c>
    </row>
    <row r="21" spans="1:4" x14ac:dyDescent="0.35">
      <c r="A21" s="7">
        <v>1996</v>
      </c>
      <c r="B21" s="11">
        <f>Data!H23/Data!H$7*100</f>
        <v>139.67993178800066</v>
      </c>
      <c r="C21" s="11">
        <f>Data!I23/Data!I$7*100</f>
        <v>177.69151031968738</v>
      </c>
      <c r="D21" s="11">
        <f>Data!J23/Data!J$7*100</f>
        <v>127.21334270794094</v>
      </c>
    </row>
    <row r="22" spans="1:4" x14ac:dyDescent="0.35">
      <c r="A22" s="7">
        <v>1997</v>
      </c>
      <c r="B22" s="11">
        <f>Data!H24/Data!H$7*100</f>
        <v>142.20211781126761</v>
      </c>
      <c r="C22" s="11">
        <f>Data!I24/Data!I$7*100</f>
        <v>183.78685096431994</v>
      </c>
      <c r="D22" s="11">
        <f>Data!J24/Data!J$7*100</f>
        <v>129.24339932000441</v>
      </c>
    </row>
    <row r="23" spans="1:4" x14ac:dyDescent="0.35">
      <c r="A23" s="7">
        <v>1998</v>
      </c>
      <c r="B23" s="11">
        <f>Data!H25/Data!H$7*100</f>
        <v>144.77261734740122</v>
      </c>
      <c r="C23" s="11">
        <f>Data!I25/Data!I$7*100</f>
        <v>184.83403919774972</v>
      </c>
      <c r="D23" s="11">
        <f>Data!J25/Data!J$7*100</f>
        <v>127.67196075084782</v>
      </c>
    </row>
    <row r="24" spans="1:4" x14ac:dyDescent="0.35">
      <c r="A24" s="7">
        <v>1999</v>
      </c>
      <c r="B24" s="11">
        <f>Data!H26/Data!H$7*100</f>
        <v>147.31125264312686</v>
      </c>
      <c r="C24" s="11">
        <f>Data!I26/Data!I$7*100</f>
        <v>177.06358801664123</v>
      </c>
      <c r="D24" s="11">
        <f>Data!J26/Data!J$7*100</f>
        <v>120.19691967835699</v>
      </c>
    </row>
    <row r="25" spans="1:4" x14ac:dyDescent="0.35">
      <c r="A25" s="7">
        <v>2000</v>
      </c>
      <c r="B25" s="11">
        <f>Data!H27/Data!H$7*100</f>
        <v>149.74405560298459</v>
      </c>
      <c r="C25" s="11">
        <f>Data!I27/Data!I$7*100</f>
        <v>182.242452700775</v>
      </c>
      <c r="D25" s="11">
        <f>Data!J27/Data!J$7*100</f>
        <v>121.70262917411134</v>
      </c>
    </row>
    <row r="26" spans="1:4" x14ac:dyDescent="0.35">
      <c r="A26" s="7">
        <v>2001</v>
      </c>
      <c r="B26" s="11">
        <f>Data!H28/Data!H$7*100</f>
        <v>152.11655094842277</v>
      </c>
      <c r="C26" s="11">
        <f>Data!I28/Data!I$7*100</f>
        <v>185.30029573087273</v>
      </c>
      <c r="D26" s="11">
        <f>Data!J28/Data!J$7*100</f>
        <v>121.81468392200259</v>
      </c>
    </row>
    <row r="27" spans="1:4" x14ac:dyDescent="0.35">
      <c r="A27" s="7">
        <v>2002</v>
      </c>
      <c r="B27" s="11">
        <f>Data!H29/Data!H$7*100</f>
        <v>154.47406803226019</v>
      </c>
      <c r="C27" s="11">
        <f>Data!I29/Data!I$7*100</f>
        <v>189.94017894052038</v>
      </c>
      <c r="D27" s="11">
        <f>Data!J29/Data!J$7*100</f>
        <v>122.95926517637457</v>
      </c>
    </row>
    <row r="28" spans="1:4" x14ac:dyDescent="0.35">
      <c r="A28" s="7">
        <v>2003</v>
      </c>
      <c r="B28" s="11">
        <f>Data!H30/Data!H$7*100</f>
        <v>156.82136082448318</v>
      </c>
      <c r="C28" s="11">
        <f>Data!I30/Data!I$7*100</f>
        <v>197.38255160488228</v>
      </c>
      <c r="D28" s="11">
        <f>Data!J30/Data!J$7*100</f>
        <v>125.86458283944854</v>
      </c>
    </row>
    <row r="29" spans="1:4" x14ac:dyDescent="0.35">
      <c r="A29" s="7">
        <v>2004</v>
      </c>
      <c r="B29" s="11">
        <f>Data!H31/Data!H$7*100</f>
        <v>159.14181149930559</v>
      </c>
      <c r="C29" s="11">
        <f>Data!I31/Data!I$7*100</f>
        <v>207.90900663956072</v>
      </c>
      <c r="D29" s="11">
        <f>Data!J31/Data!J$7*100</f>
        <v>130.64386076846145</v>
      </c>
    </row>
    <row r="30" spans="1:4" x14ac:dyDescent="0.35">
      <c r="A30" s="7">
        <v>2005</v>
      </c>
      <c r="B30" s="11">
        <f>Data!H32/Data!H$7*100</f>
        <v>161.38589219375143</v>
      </c>
      <c r="C30" s="11">
        <f>Data!I32/Data!I$7*100</f>
        <v>217.9484358916543</v>
      </c>
      <c r="D30" s="11">
        <f>Data!J32/Data!J$7*100</f>
        <v>135.04801003919067</v>
      </c>
    </row>
    <row r="31" spans="1:4" x14ac:dyDescent="0.35">
      <c r="A31" s="7">
        <v>2006</v>
      </c>
      <c r="B31" s="11">
        <f>Data!H33/Data!H$7*100</f>
        <v>163.53918776756404</v>
      </c>
      <c r="C31" s="11">
        <f>Data!I33/Data!I$7*100</f>
        <v>232.58774616080925</v>
      </c>
      <c r="D31" s="11">
        <f>Data!J33/Data!J$7*100</f>
        <v>142.22141453422367</v>
      </c>
    </row>
    <row r="32" spans="1:4" x14ac:dyDescent="0.35">
      <c r="A32" s="7">
        <v>2007</v>
      </c>
      <c r="B32" s="11">
        <f>Data!H34/Data!H$7*100</f>
        <v>165.62423073602105</v>
      </c>
      <c r="C32" s="11">
        <f>Data!I34/Data!I$7*100</f>
        <v>248.25996132432397</v>
      </c>
      <c r="D32" s="11">
        <f>Data!J34/Data!J$7*100</f>
        <v>149.89350303459582</v>
      </c>
    </row>
    <row r="33" spans="1:4" x14ac:dyDescent="0.35">
      <c r="A33" s="7">
        <v>2008</v>
      </c>
      <c r="B33" s="11">
        <f>Data!H35/Data!H$7*100</f>
        <v>167.62937942725426</v>
      </c>
      <c r="C33" s="11">
        <f>Data!I35/Data!I$7*100</f>
        <v>256.41144355620304</v>
      </c>
      <c r="D33" s="11">
        <f>Data!J35/Data!J$7*100</f>
        <v>152.96330776400532</v>
      </c>
    </row>
    <row r="34" spans="1:4" x14ac:dyDescent="0.35">
      <c r="A34" s="7">
        <v>2009</v>
      </c>
      <c r="B34" s="11">
        <f>Data!H36/Data!H$7*100</f>
        <v>169.59353518309373</v>
      </c>
      <c r="C34" s="11">
        <f>Data!I36/Data!I$7*100</f>
        <v>259.33363309954854</v>
      </c>
      <c r="D34" s="11">
        <f>Data!J36/Data!J$7*100</f>
        <v>152.91481059084666</v>
      </c>
    </row>
    <row r="35" spans="1:4" x14ac:dyDescent="0.35">
      <c r="A35" s="7">
        <v>2010</v>
      </c>
      <c r="B35" s="11">
        <f>Data!H37/Data!H$7*100</f>
        <v>171.5310480209196</v>
      </c>
      <c r="C35" s="11">
        <f>Data!I37/Data!I$7*100</f>
        <v>270.98979550372337</v>
      </c>
      <c r="D35" s="11">
        <f>Data!J37/Data!J$7*100</f>
        <v>157.98294164836796</v>
      </c>
    </row>
    <row r="36" spans="1:4" x14ac:dyDescent="0.35">
      <c r="A36" s="7">
        <v>2011</v>
      </c>
      <c r="B36" s="11">
        <f>Data!H38/Data!H$7*100</f>
        <v>173.37860318171988</v>
      </c>
      <c r="C36" s="11">
        <f>Data!I38/Data!I$7*100</f>
        <v>289.81787377684827</v>
      </c>
      <c r="D36" s="11">
        <f>Data!J38/Data!J$7*100</f>
        <v>167.15896221235974</v>
      </c>
    </row>
    <row r="37" spans="1:4" x14ac:dyDescent="0.35">
      <c r="A37" s="7">
        <v>2012</v>
      </c>
      <c r="B37" s="11">
        <f>Data!H39/Data!H$7*100</f>
        <v>175.12617940402455</v>
      </c>
      <c r="C37" s="11">
        <f>Data!I39/Data!I$7*100</f>
        <v>301.15739156586756</v>
      </c>
      <c r="D37" s="11">
        <f>Data!J39/Data!J$7*100</f>
        <v>171.96594626271312</v>
      </c>
    </row>
    <row r="38" spans="1:4" x14ac:dyDescent="0.35">
      <c r="A38" s="7">
        <v>2013</v>
      </c>
      <c r="B38" s="11">
        <f>Data!H40/Data!H$7*100</f>
        <v>176.79552389783552</v>
      </c>
      <c r="C38" s="11">
        <f>Data!I40/Data!I$7*100</f>
        <v>316.61879253372922</v>
      </c>
      <c r="D38" s="11">
        <f>Data!J40/Data!J$7*100</f>
        <v>179.0875614682945</v>
      </c>
    </row>
    <row r="39" spans="1:4" x14ac:dyDescent="0.35">
      <c r="A39" s="7">
        <v>2014</v>
      </c>
      <c r="B39" s="11">
        <f>Data!H41/Data!H$7*100</f>
        <v>178.38086371168677</v>
      </c>
      <c r="C39" s="11">
        <f>Data!I41/Data!I$7*100</f>
        <v>330.863566998973</v>
      </c>
      <c r="D39" s="11">
        <f>Data!J41/Data!J$7*100</f>
        <v>185.4815365922554</v>
      </c>
    </row>
    <row r="40" spans="1:4" x14ac:dyDescent="0.35">
      <c r="A40" s="7">
        <v>2015</v>
      </c>
      <c r="B40" s="11">
        <f>Data!H42/Data!H$7*100</f>
        <v>179.93044723556838</v>
      </c>
      <c r="C40" s="11">
        <f>Data!I42/Data!I$7*100</f>
        <v>340.64356772618061</v>
      </c>
      <c r="D40" s="11">
        <f>Data!J42/Data!J$7*100</f>
        <v>189.3195804044235</v>
      </c>
    </row>
    <row r="41" spans="1:4" x14ac:dyDescent="0.35">
      <c r="A41" s="7">
        <v>2016</v>
      </c>
      <c r="B41" s="11">
        <f>Data!H43/Data!H$7*100</f>
        <v>181.72160215454056</v>
      </c>
      <c r="C41" s="11">
        <f>Data!I43/Data!I$7*100</f>
        <v>347.75410195181769</v>
      </c>
      <c r="D41" s="11">
        <f>Data!J43/Data!J$7*100</f>
        <v>191.36640764155254</v>
      </c>
    </row>
    <row r="42" spans="1:4" x14ac:dyDescent="0.35">
      <c r="A42" s="7">
        <v>2017</v>
      </c>
      <c r="B42" s="11">
        <f>Data!H44/Data!H$7*100</f>
        <v>184.37848527100579</v>
      </c>
      <c r="C42" s="11">
        <f>Data!I44/Data!I$7*100</f>
        <v>352.48133513022435</v>
      </c>
      <c r="D42" s="11">
        <f>Data!J44/Data!J$7*100</f>
        <v>191.17270358964907</v>
      </c>
    </row>
    <row r="43" spans="1:4" x14ac:dyDescent="0.35">
      <c r="A43" s="7">
        <v>2018</v>
      </c>
      <c r="B43" s="11">
        <f>Data!H45/Data!H$7*100</f>
        <v>187.80083417041769</v>
      </c>
      <c r="C43" s="11">
        <f>Data!I45/Data!I$7*100</f>
        <v>361.5200995992256</v>
      </c>
      <c r="D43" s="11">
        <f>Data!J45/Data!J$7*100</f>
        <v>192.50186038639669</v>
      </c>
    </row>
    <row r="44" spans="1:4" x14ac:dyDescent="0.35">
      <c r="A44" s="7">
        <v>2019</v>
      </c>
      <c r="B44" s="11">
        <f>Data!H46/Data!H$7*100</f>
        <v>191.18538498614299</v>
      </c>
      <c r="C44" s="11">
        <f>Data!I46/Data!I$7*100</f>
        <v>373.04122238811385</v>
      </c>
      <c r="D44" s="11">
        <f>Data!J46/Data!J$7*100</f>
        <v>195.12015649896654</v>
      </c>
    </row>
    <row r="45" spans="1:4" x14ac:dyDescent="0.35">
      <c r="A45" s="7">
        <v>2020</v>
      </c>
      <c r="B45" s="11">
        <f>Data!H47/Data!H$7*100</f>
        <v>193.95123782882169</v>
      </c>
      <c r="C45" s="11">
        <f>Data!I47/Data!I$7*100</f>
        <v>346.23480044941829</v>
      </c>
      <c r="D45" s="11">
        <f>Data!J47/Data!J$7*100</f>
        <v>178.51641697435289</v>
      </c>
    </row>
    <row r="46" spans="1:4" x14ac:dyDescent="0.35">
      <c r="A46" s="7">
        <v>2021</v>
      </c>
      <c r="B46" s="11">
        <f>Data!H48/Data!H$7*100</f>
        <v>196.08947469512725</v>
      </c>
      <c r="C46" s="11">
        <f>Data!I48/Data!I$7*100</f>
        <v>383.63230745040005</v>
      </c>
      <c r="D46" s="11">
        <f>Data!J48/Data!J$7*100</f>
        <v>195.64145808787421</v>
      </c>
    </row>
    <row r="47" spans="1:4" x14ac:dyDescent="0.35">
      <c r="A47" s="7">
        <v>2022</v>
      </c>
      <c r="B47" s="11">
        <f>Data!H49/Data!H$7*100</f>
        <v>198.1955140451274</v>
      </c>
      <c r="C47" s="11">
        <f>Data!I49/Data!I$7*100</f>
        <v>411.74594673080958</v>
      </c>
      <c r="D47" s="11">
        <f>Data!J49/Data!J$7*100</f>
        <v>207.7473593257304</v>
      </c>
    </row>
    <row r="48" spans="1:4" x14ac:dyDescent="0.35">
      <c r="A48" s="7">
        <v>2023</v>
      </c>
      <c r="B48" s="11">
        <f>Data!H50/Data!H$7*100</f>
        <v>200.42964243173725</v>
      </c>
      <c r="C48" s="11">
        <f>Data!I50/Data!I$7*100</f>
        <v>415.21210463040512</v>
      </c>
      <c r="D48" s="11">
        <f>Data!J50/Data!J$7*100</f>
        <v>207.16102647931388</v>
      </c>
    </row>
    <row r="49" spans="1:4" x14ac:dyDescent="0.35">
      <c r="A49" s="7">
        <v>2024</v>
      </c>
      <c r="B49" s="11">
        <f>Data!H51/Data!H$7*100</f>
        <v>202.59482867665182</v>
      </c>
      <c r="C49" s="11">
        <f>Data!I51/Data!I$7*100</f>
        <v>421.41249724830845</v>
      </c>
      <c r="D49" s="11">
        <f>Data!J51/Data!J$7*100</f>
        <v>208.00752911659794</v>
      </c>
    </row>
    <row r="50" spans="1:4" x14ac:dyDescent="0.35">
      <c r="A50" s="7">
        <v>2025</v>
      </c>
      <c r="B50" s="11">
        <f>Data!H52/Data!H$7*100</f>
        <v>204.66064890426162</v>
      </c>
      <c r="C50" s="11">
        <f>Data!I52/Data!I$7*100</f>
        <v>432.54628070181099</v>
      </c>
      <c r="D50" s="11">
        <f>Data!J52/Data!J$7*100</f>
        <v>211.34804517509011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0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8" customWidth="1"/>
    <col min="2" max="7" width="16" customWidth="1"/>
  </cols>
  <sheetData>
    <row r="1" spans="1:7" ht="306" x14ac:dyDescent="0.35">
      <c r="A1" s="1" t="s">
        <v>48</v>
      </c>
    </row>
    <row r="2" spans="1:7" ht="168" x14ac:dyDescent="0.35">
      <c r="A2" s="2" t="s">
        <v>49</v>
      </c>
    </row>
    <row r="4" spans="1:7" x14ac:dyDescent="0.3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spans="1:7" x14ac:dyDescent="0.35">
      <c r="A5" s="7">
        <v>1980</v>
      </c>
      <c r="B5" s="12">
        <f>IF(Data!B7="","",(Data!B7-AVERAGE(Data!B$7:B$52))/_xlfn.STDEV.P(Data!B$7:B$52))</f>
        <v>1.4498775026231383</v>
      </c>
      <c r="C5" s="12" t="str">
        <f>IF(Data!C7="","",(Data!C7-AVERAGE(Data!C$7:C$52))/_xlfn.STDEV.P(Data!C$7:C$52))</f>
        <v/>
      </c>
      <c r="D5" s="12">
        <f>IF(Data!D7="","",(Data!D7-AVERAGE(Data!D$7:D$52))/_xlfn.STDEV.P(Data!D$7:D$52))</f>
        <v>-2.3851329583709293</v>
      </c>
      <c r="E5" s="12">
        <f>IF(Data!E7="","",(Data!E7-AVERAGE(Data!E$7:E$52))/_xlfn.STDEV.P(Data!E$7:E$52))</f>
        <v>0.258515637154277</v>
      </c>
      <c r="F5" s="12" t="str">
        <f>IF(Data!F7="","",(Data!F7-AVERAGE(Data!F$7:F$52))/_xlfn.STDEV.P(Data!F$7:F$52))</f>
        <v/>
      </c>
      <c r="G5" s="12" t="str">
        <f>IF(Data!G7="","",(Data!G7-AVERAGE(Data!G$7:G$52))/_xlfn.STDEV.P(Data!G$7:G$52))</f>
        <v/>
      </c>
    </row>
    <row r="6" spans="1:7" x14ac:dyDescent="0.35">
      <c r="A6" s="7">
        <v>1981</v>
      </c>
      <c r="B6" s="12">
        <f>IF(Data!B8="","",(Data!B8-AVERAGE(Data!B$7:B$52))/_xlfn.STDEV.P(Data!B$7:B$52))</f>
        <v>1.5459632153713856</v>
      </c>
      <c r="C6" s="12" t="str">
        <f>IF(Data!C8="","",(Data!C8-AVERAGE(Data!C$7:C$52))/_xlfn.STDEV.P(Data!C$7:C$52))</f>
        <v/>
      </c>
      <c r="D6" s="12">
        <f>IF(Data!D8="","",(Data!D8-AVERAGE(Data!D$7:D$52))/_xlfn.STDEV.P(Data!D$7:D$52))</f>
        <v>-0.96769623139887428</v>
      </c>
      <c r="E6" s="12">
        <f>IF(Data!E8="","",(Data!E8-AVERAGE(Data!E$7:E$52))/_xlfn.STDEV.P(Data!E$7:E$52))</f>
        <v>-0.38817927605060903</v>
      </c>
      <c r="F6" s="12" t="str">
        <f>IF(Data!F8="","",(Data!F8-AVERAGE(Data!F$7:F$52))/_xlfn.STDEV.P(Data!F$7:F$52))</f>
        <v/>
      </c>
      <c r="G6" s="12" t="str">
        <f>IF(Data!G8="","",(Data!G8-AVERAGE(Data!G$7:G$52))/_xlfn.STDEV.P(Data!G$7:G$52))</f>
        <v/>
      </c>
    </row>
    <row r="7" spans="1:7" x14ac:dyDescent="0.35">
      <c r="A7" s="7">
        <v>1982</v>
      </c>
      <c r="B7" s="12">
        <f>IF(Data!B9="","",(Data!B9-AVERAGE(Data!B$7:B$52))/_xlfn.STDEV.P(Data!B$7:B$52))</f>
        <v>1.2545662013289116</v>
      </c>
      <c r="C7" s="12" t="str">
        <f>IF(Data!C9="","",(Data!C9-AVERAGE(Data!C$7:C$52))/_xlfn.STDEV.P(Data!C$7:C$52))</f>
        <v/>
      </c>
      <c r="D7" s="12">
        <f>IF(Data!D9="","",(Data!D9-AVERAGE(Data!D$7:D$52))/_xlfn.STDEV.P(Data!D$7:D$52))</f>
        <v>-0.64989269015165485</v>
      </c>
      <c r="E7" s="12">
        <f>IF(Data!E9="","",(Data!E9-AVERAGE(Data!E$7:E$52))/_xlfn.STDEV.P(Data!E$7:E$52))</f>
        <v>-0.86269580345036045</v>
      </c>
      <c r="F7" s="12" t="str">
        <f>IF(Data!F9="","",(Data!F9-AVERAGE(Data!F$7:F$52))/_xlfn.STDEV.P(Data!F$7:F$52))</f>
        <v/>
      </c>
      <c r="G7" s="12" t="str">
        <f>IF(Data!G9="","",(Data!G9-AVERAGE(Data!G$7:G$52))/_xlfn.STDEV.P(Data!G$7:G$52))</f>
        <v/>
      </c>
    </row>
    <row r="8" spans="1:7" x14ac:dyDescent="0.35">
      <c r="A8" s="7">
        <v>1983</v>
      </c>
      <c r="B8" s="12">
        <f>IF(Data!B10="","",(Data!B10-AVERAGE(Data!B$7:B$52))/_xlfn.STDEV.P(Data!B$7:B$52))</f>
        <v>0.70822669926567994</v>
      </c>
      <c r="C8" s="12" t="str">
        <f>IF(Data!C10="","",(Data!C10-AVERAGE(Data!C$7:C$52))/_xlfn.STDEV.P(Data!C$7:C$52))</f>
        <v/>
      </c>
      <c r="D8" s="12">
        <f>IF(Data!D10="","",(Data!D10-AVERAGE(Data!D$7:D$52))/_xlfn.STDEV.P(Data!D$7:D$52))</f>
        <v>1.9635392082124625E-2</v>
      </c>
      <c r="E8" s="12">
        <f>IF(Data!E10="","",(Data!E10-AVERAGE(Data!E$7:E$52))/_xlfn.STDEV.P(Data!E$7:E$52))</f>
        <v>-0.63925767792196186</v>
      </c>
      <c r="F8" s="12" t="str">
        <f>IF(Data!F10="","",(Data!F10-AVERAGE(Data!F$7:F$52))/_xlfn.STDEV.P(Data!F$7:F$52))</f>
        <v/>
      </c>
      <c r="G8" s="12" t="str">
        <f>IF(Data!G10="","",(Data!G10-AVERAGE(Data!G$7:G$52))/_xlfn.STDEV.P(Data!G$7:G$52))</f>
        <v/>
      </c>
    </row>
    <row r="9" spans="1:7" x14ac:dyDescent="0.35">
      <c r="A9" s="7">
        <v>1984</v>
      </c>
      <c r="B9" s="12">
        <f>IF(Data!B11="","",(Data!B11-AVERAGE(Data!B$7:B$52))/_xlfn.STDEV.P(Data!B$7:B$52))</f>
        <v>0.34187637793448089</v>
      </c>
      <c r="C9" s="12" t="str">
        <f>IF(Data!C11="","",(Data!C11-AVERAGE(Data!C$7:C$52))/_xlfn.STDEV.P(Data!C$7:C$52))</f>
        <v/>
      </c>
      <c r="D9" s="12">
        <f>IF(Data!D11="","",(Data!D11-AVERAGE(Data!D$7:D$52))/_xlfn.STDEV.P(Data!D$7:D$52))</f>
        <v>0.63548266890316185</v>
      </c>
      <c r="E9" s="12">
        <f>IF(Data!E11="","",(Data!E11-AVERAGE(Data!E$7:E$52))/_xlfn.STDEV.P(Data!E$7:E$52))</f>
        <v>-4.6192528032170752E-3</v>
      </c>
      <c r="F9" s="12" t="str">
        <f>IF(Data!F11="","",(Data!F11-AVERAGE(Data!F$7:F$52))/_xlfn.STDEV.P(Data!F$7:F$52))</f>
        <v/>
      </c>
      <c r="G9" s="12" t="str">
        <f>IF(Data!G11="","",(Data!G11-AVERAGE(Data!G$7:G$52))/_xlfn.STDEV.P(Data!G$7:G$52))</f>
        <v/>
      </c>
    </row>
    <row r="10" spans="1:7" x14ac:dyDescent="0.35">
      <c r="A10" s="7">
        <v>1985</v>
      </c>
      <c r="B10" s="12">
        <f>IF(Data!B12="","",(Data!B12-AVERAGE(Data!B$7:B$52))/_xlfn.STDEV.P(Data!B$7:B$52))</f>
        <v>1.1873022160195474</v>
      </c>
      <c r="C10" s="12" t="str">
        <f>IF(Data!C12="","",(Data!C12-AVERAGE(Data!C$7:C$52))/_xlfn.STDEV.P(Data!C$7:C$52))</f>
        <v/>
      </c>
      <c r="D10" s="12">
        <f>IF(Data!D12="","",(Data!D12-AVERAGE(Data!D$7:D$52))/_xlfn.STDEV.P(Data!D$7:D$52))</f>
        <v>0.92661047249128847</v>
      </c>
      <c r="E10" s="12">
        <f>IF(Data!E12="","",(Data!E12-AVERAGE(Data!E$7:E$52))/_xlfn.STDEV.P(Data!E$7:E$52))</f>
        <v>-9.1623957367313297E-2</v>
      </c>
      <c r="F10" s="12" t="str">
        <f>IF(Data!F12="","",(Data!F12-AVERAGE(Data!F$7:F$52))/_xlfn.STDEV.P(Data!F$7:F$52))</f>
        <v/>
      </c>
      <c r="G10" s="12" t="str">
        <f>IF(Data!G12="","",(Data!G12-AVERAGE(Data!G$7:G$52))/_xlfn.STDEV.P(Data!G$7:G$52))</f>
        <v/>
      </c>
    </row>
    <row r="11" spans="1:7" x14ac:dyDescent="0.35">
      <c r="A11" s="7">
        <v>1986</v>
      </c>
      <c r="B11" s="12">
        <f>IF(Data!B13="","",(Data!B13-AVERAGE(Data!B$7:B$52))/_xlfn.STDEV.P(Data!B$7:B$52))</f>
        <v>0.62773626785277847</v>
      </c>
      <c r="C11" s="12">
        <f>IF(Data!C13="","",(Data!C13-AVERAGE(Data!C$7:C$52))/_xlfn.STDEV.P(Data!C$7:C$52))</f>
        <v>1.3462873396084618</v>
      </c>
      <c r="D11" s="12">
        <f>IF(Data!D13="","",(Data!D13-AVERAGE(Data!D$7:D$52))/_xlfn.STDEV.P(Data!D$7:D$52))</f>
        <v>0.64865587268542968</v>
      </c>
      <c r="E11" s="12">
        <f>IF(Data!E13="","",(Data!E13-AVERAGE(Data!E$7:E$52))/_xlfn.STDEV.P(Data!E$7:E$52))</f>
        <v>0.87886438700439873</v>
      </c>
      <c r="F11" s="12" t="str">
        <f>IF(Data!F13="","",(Data!F13-AVERAGE(Data!F$7:F$52))/_xlfn.STDEV.P(Data!F$7:F$52))</f>
        <v/>
      </c>
      <c r="G11" s="12" t="str">
        <f>IF(Data!G13="","",(Data!G13-AVERAGE(Data!G$7:G$52))/_xlfn.STDEV.P(Data!G$7:G$52))</f>
        <v/>
      </c>
    </row>
    <row r="12" spans="1:7" x14ac:dyDescent="0.35">
      <c r="A12" s="7">
        <v>1987</v>
      </c>
      <c r="B12" s="12">
        <f>IF(Data!B14="","",(Data!B14-AVERAGE(Data!B$7:B$52))/_xlfn.STDEV.P(Data!B$7:B$52))</f>
        <v>1.1032618318033949</v>
      </c>
      <c r="C12" s="12">
        <f>IF(Data!C14="","",(Data!C14-AVERAGE(Data!C$7:C$52))/_xlfn.STDEV.P(Data!C$7:C$52))</f>
        <v>1.3669720449867893</v>
      </c>
      <c r="D12" s="12">
        <f>IF(Data!D14="","",(Data!D14-AVERAGE(Data!D$7:D$52))/_xlfn.STDEV.P(Data!D$7:D$52))</f>
        <v>-4.8206607396556279E-2</v>
      </c>
      <c r="E12" s="12">
        <f>IF(Data!E14="","",(Data!E14-AVERAGE(Data!E$7:E$52))/_xlfn.STDEV.P(Data!E$7:E$52))</f>
        <v>0.71628918519983575</v>
      </c>
      <c r="F12" s="12" t="str">
        <f>IF(Data!F14="","",(Data!F14-AVERAGE(Data!F$7:F$52))/_xlfn.STDEV.P(Data!F$7:F$52))</f>
        <v/>
      </c>
      <c r="G12" s="12" t="str">
        <f>IF(Data!G14="","",(Data!G14-AVERAGE(Data!G$7:G$52))/_xlfn.STDEV.P(Data!G$7:G$52))</f>
        <v/>
      </c>
    </row>
    <row r="13" spans="1:7" x14ac:dyDescent="0.35">
      <c r="A13" s="7">
        <v>1988</v>
      </c>
      <c r="B13" s="12">
        <f>IF(Data!B15="","",(Data!B15-AVERAGE(Data!B$7:B$52))/_xlfn.STDEV.P(Data!B$7:B$52))</f>
        <v>1.6157672087626342</v>
      </c>
      <c r="C13" s="12">
        <f>IF(Data!C15="","",(Data!C15-AVERAGE(Data!C$7:C$52))/_xlfn.STDEV.P(Data!C$7:C$52))</f>
        <v>1.4891531307929362</v>
      </c>
      <c r="D13" s="12">
        <f>IF(Data!D15="","",(Data!D15-AVERAGE(Data!D$7:D$52))/_xlfn.STDEV.P(Data!D$7:D$52))</f>
        <v>-0.30771872190723926</v>
      </c>
      <c r="E13" s="12">
        <f>IF(Data!E15="","",(Data!E15-AVERAGE(Data!E$7:E$52))/_xlfn.STDEV.P(Data!E$7:E$52))</f>
        <v>0.25023570097497011</v>
      </c>
      <c r="F13" s="12" t="str">
        <f>IF(Data!F15="","",(Data!F15-AVERAGE(Data!F$7:F$52))/_xlfn.STDEV.P(Data!F$7:F$52))</f>
        <v/>
      </c>
      <c r="G13" s="12" t="str">
        <f>IF(Data!G15="","",(Data!G15-AVERAGE(Data!G$7:G$52))/_xlfn.STDEV.P(Data!G$7:G$52))</f>
        <v/>
      </c>
    </row>
    <row r="14" spans="1:7" x14ac:dyDescent="0.35">
      <c r="A14" s="7">
        <v>1989</v>
      </c>
      <c r="B14" s="12">
        <f>IF(Data!B16="","",(Data!B16-AVERAGE(Data!B$7:B$52))/_xlfn.STDEV.P(Data!B$7:B$52))</f>
        <v>1.3768244227326649</v>
      </c>
      <c r="C14" s="12">
        <f>IF(Data!C16="","",(Data!C16-AVERAGE(Data!C$7:C$52))/_xlfn.STDEV.P(Data!C$7:C$52))</f>
        <v>1.5162616577173282</v>
      </c>
      <c r="D14" s="12">
        <f>IF(Data!D16="","",(Data!D16-AVERAGE(Data!D$7:D$52))/_xlfn.STDEV.P(Data!D$7:D$52))</f>
        <v>-0.74144645643841878</v>
      </c>
      <c r="E14" s="12">
        <f>IF(Data!E16="","",(Data!E16-AVERAGE(Data!E$7:E$52))/_xlfn.STDEV.P(Data!E$7:E$52))</f>
        <v>1.8031335000519035E-2</v>
      </c>
      <c r="F14" s="12" t="str">
        <f>IF(Data!F16="","",(Data!F16-AVERAGE(Data!F$7:F$52))/_xlfn.STDEV.P(Data!F$7:F$52))</f>
        <v/>
      </c>
      <c r="G14" s="12" t="str">
        <f>IF(Data!G16="","",(Data!G16-AVERAGE(Data!G$7:G$52))/_xlfn.STDEV.P(Data!G$7:G$52))</f>
        <v/>
      </c>
    </row>
    <row r="15" spans="1:7" x14ac:dyDescent="0.35">
      <c r="A15" s="7">
        <v>1990</v>
      </c>
      <c r="B15" s="12">
        <f>IF(Data!B17="","",(Data!B17-AVERAGE(Data!B$7:B$52))/_xlfn.STDEV.P(Data!B$7:B$52))</f>
        <v>1.7270497195465127</v>
      </c>
      <c r="C15" s="12">
        <f>IF(Data!C17="","",(Data!C17-AVERAGE(Data!C$7:C$52))/_xlfn.STDEV.P(Data!C$7:C$52))</f>
        <v>1.6866856433344195</v>
      </c>
      <c r="D15" s="12">
        <f>IF(Data!D17="","",(Data!D17-AVERAGE(Data!D$7:D$52))/_xlfn.STDEV.P(Data!D$7:D$52))</f>
        <v>-0.30343743067800216</v>
      </c>
      <c r="E15" s="12">
        <f>IF(Data!E17="","",(Data!E17-AVERAGE(Data!E$7:E$52))/_xlfn.STDEV.P(Data!E$7:E$52))</f>
        <v>0.32804175376408129</v>
      </c>
      <c r="F15" s="12" t="str">
        <f>IF(Data!F17="","",(Data!F17-AVERAGE(Data!F$7:F$52))/_xlfn.STDEV.P(Data!F$7:F$52))</f>
        <v/>
      </c>
      <c r="G15" s="12" t="str">
        <f>IF(Data!G17="","",(Data!G17-AVERAGE(Data!G$7:G$52))/_xlfn.STDEV.P(Data!G$7:G$52))</f>
        <v/>
      </c>
    </row>
    <row r="16" spans="1:7" x14ac:dyDescent="0.35">
      <c r="A16" s="7">
        <v>1991</v>
      </c>
      <c r="B16" s="12">
        <f>IF(Data!B18="","",(Data!B18-AVERAGE(Data!B$7:B$52))/_xlfn.STDEV.P(Data!B$7:B$52))</f>
        <v>1.8588232243084586</v>
      </c>
      <c r="C16" s="12">
        <f>IF(Data!C18="","",(Data!C18-AVERAGE(Data!C$7:C$52))/_xlfn.STDEV.P(Data!C$7:C$52))</f>
        <v>1.8315428191981842</v>
      </c>
      <c r="D16" s="12">
        <f>IF(Data!D18="","",(Data!D18-AVERAGE(Data!D$7:D$52))/_xlfn.STDEV.P(Data!D$7:D$52))</f>
        <v>-0.31265867332558944</v>
      </c>
      <c r="E16" s="12">
        <f>IF(Data!E18="","",(Data!E18-AVERAGE(Data!E$7:E$52))/_xlfn.STDEV.P(Data!E$7:E$52))</f>
        <v>-0.4865026380904704</v>
      </c>
      <c r="F16" s="12" t="str">
        <f>IF(Data!F18="","",(Data!F18-AVERAGE(Data!F$7:F$52))/_xlfn.STDEV.P(Data!F$7:F$52))</f>
        <v/>
      </c>
      <c r="G16" s="12" t="str">
        <f>IF(Data!G18="","",(Data!G18-AVERAGE(Data!G$7:G$52))/_xlfn.STDEV.P(Data!G$7:G$52))</f>
        <v/>
      </c>
    </row>
    <row r="17" spans="1:7" x14ac:dyDescent="0.35">
      <c r="A17" s="7">
        <v>1992</v>
      </c>
      <c r="B17" s="12">
        <f>IF(Data!B19="","",(Data!B19-AVERAGE(Data!B$7:B$52))/_xlfn.STDEV.P(Data!B$7:B$52))</f>
        <v>1.4987114324808331</v>
      </c>
      <c r="C17" s="12">
        <f>IF(Data!C19="","",(Data!C19-AVERAGE(Data!C$7:C$52))/_xlfn.STDEV.P(Data!C$7:C$52))</f>
        <v>1.0723113506687945</v>
      </c>
      <c r="D17" s="12">
        <f>IF(Data!D19="","",(Data!D19-AVERAGE(Data!D$7:D$52))/_xlfn.STDEV.P(Data!D$7:D$52))</f>
        <v>-0.53956710847515865</v>
      </c>
      <c r="E17" s="12">
        <f>IF(Data!E19="","",(Data!E19-AVERAGE(Data!E$7:E$52))/_xlfn.STDEV.P(Data!E$7:E$52))</f>
        <v>0.24336190796075355</v>
      </c>
      <c r="F17" s="12" t="str">
        <f>IF(Data!F19="","",(Data!F19-AVERAGE(Data!F$7:F$52))/_xlfn.STDEV.P(Data!F$7:F$52))</f>
        <v/>
      </c>
      <c r="G17" s="12" t="str">
        <f>IF(Data!G19="","",(Data!G19-AVERAGE(Data!G$7:G$52))/_xlfn.STDEV.P(Data!G$7:G$52))</f>
        <v/>
      </c>
    </row>
    <row r="18" spans="1:7" x14ac:dyDescent="0.35">
      <c r="A18" s="7">
        <v>1993</v>
      </c>
      <c r="B18" s="12">
        <f>IF(Data!B20="","",(Data!B20-AVERAGE(Data!B$7:B$52))/_xlfn.STDEV.P(Data!B$7:B$52))</f>
        <v>1.0116080841560342</v>
      </c>
      <c r="C18" s="12">
        <f>IF(Data!C20="","",(Data!C20-AVERAGE(Data!C$7:C$52))/_xlfn.STDEV.P(Data!C$7:C$52))</f>
        <v>0.95938056788897774</v>
      </c>
      <c r="D18" s="12">
        <f>IF(Data!D20="","",(Data!D20-AVERAGE(Data!D$7:D$52))/_xlfn.STDEV.P(Data!D$7:D$52))</f>
        <v>-1.0780218130753703</v>
      </c>
      <c r="E18" s="12">
        <f>IF(Data!E20="","",(Data!E20-AVERAGE(Data!E$7:E$52))/_xlfn.STDEV.P(Data!E$7:E$52))</f>
        <v>0.72217497129703678</v>
      </c>
      <c r="F18" s="12" t="str">
        <f>IF(Data!F20="","",(Data!F20-AVERAGE(Data!F$7:F$52))/_xlfn.STDEV.P(Data!F$7:F$52))</f>
        <v/>
      </c>
      <c r="G18" s="12" t="str">
        <f>IF(Data!G20="","",(Data!G20-AVERAGE(Data!G$7:G$52))/_xlfn.STDEV.P(Data!G$7:G$52))</f>
        <v/>
      </c>
    </row>
    <row r="19" spans="1:7" x14ac:dyDescent="0.35">
      <c r="A19" s="7">
        <v>1994</v>
      </c>
      <c r="B19" s="12">
        <f>IF(Data!B21="","",(Data!B21-AVERAGE(Data!B$7:B$52))/_xlfn.STDEV.P(Data!B$7:B$52))</f>
        <v>1.0546610883913052</v>
      </c>
      <c r="C19" s="12">
        <f>IF(Data!C21="","",(Data!C21-AVERAGE(Data!C$7:C$52))/_xlfn.STDEV.P(Data!C$7:C$52))</f>
        <v>1.317894048374846</v>
      </c>
      <c r="D19" s="12">
        <f>IF(Data!D21="","",(Data!D21-AVERAGE(Data!D$7:D$52))/_xlfn.STDEV.P(Data!D$7:D$52))</f>
        <v>-1.1438878319867112</v>
      </c>
      <c r="E19" s="12">
        <f>IF(Data!E21="","",(Data!E21-AVERAGE(Data!E$7:E$52))/_xlfn.STDEV.P(Data!E$7:E$52))</f>
        <v>0.87550167012083724</v>
      </c>
      <c r="F19" s="12" t="str">
        <f>IF(Data!F21="","",(Data!F21-AVERAGE(Data!F$7:F$52))/_xlfn.STDEV.P(Data!F$7:F$52))</f>
        <v/>
      </c>
      <c r="G19" s="12" t="str">
        <f>IF(Data!G21="","",(Data!G21-AVERAGE(Data!G$7:G$52))/_xlfn.STDEV.P(Data!G$7:G$52))</f>
        <v/>
      </c>
    </row>
    <row r="20" spans="1:7" x14ac:dyDescent="0.35">
      <c r="A20" s="7">
        <v>1995</v>
      </c>
      <c r="B20" s="12">
        <f>IF(Data!B22="","",(Data!B22-AVERAGE(Data!B$7:B$52))/_xlfn.STDEV.P(Data!B$7:B$52))</f>
        <v>0.84625728778439957</v>
      </c>
      <c r="C20" s="12">
        <f>IF(Data!C22="","",(Data!C22-AVERAGE(Data!C$7:C$52))/_xlfn.STDEV.P(Data!C$7:C$52))</f>
        <v>1.4915299447649777</v>
      </c>
      <c r="D20" s="12">
        <f>IF(Data!D22="","",(Data!D22-AVERAGE(Data!D$7:D$52))/_xlfn.STDEV.P(Data!D$7:D$52))</f>
        <v>-0.77503812608320211</v>
      </c>
      <c r="E20" s="12">
        <f>IF(Data!E22="","",(Data!E22-AVERAGE(Data!E$7:E$52))/_xlfn.STDEV.P(Data!E$7:E$52))</f>
        <v>0.65681814617166234</v>
      </c>
      <c r="F20" s="12" t="str">
        <f>IF(Data!F22="","",(Data!F22-AVERAGE(Data!F$7:F$52))/_xlfn.STDEV.P(Data!F$7:F$52))</f>
        <v/>
      </c>
      <c r="G20" s="12" t="str">
        <f>IF(Data!G22="","",(Data!G22-AVERAGE(Data!G$7:G$52))/_xlfn.STDEV.P(Data!G$7:G$52))</f>
        <v/>
      </c>
    </row>
    <row r="21" spans="1:7" x14ac:dyDescent="0.35">
      <c r="A21" s="7">
        <v>1996</v>
      </c>
      <c r="B21" s="12">
        <f>IF(Data!B23="","",(Data!B23-AVERAGE(Data!B$7:B$52))/_xlfn.STDEV.P(Data!B$7:B$52))</f>
        <v>0.83621083011607378</v>
      </c>
      <c r="C21" s="12">
        <f>IF(Data!C23="","",(Data!C23-AVERAGE(Data!C$7:C$52))/_xlfn.STDEV.P(Data!C$7:C$52))</f>
        <v>1.4356426973142189</v>
      </c>
      <c r="D21" s="12">
        <f>IF(Data!D23="","",(Data!D23-AVERAGE(Data!D$7:D$52))/_xlfn.STDEV.P(Data!D$7:D$52))</f>
        <v>0.24127454571878656</v>
      </c>
      <c r="E21" s="12">
        <f>IF(Data!E23="","",(Data!E23-AVERAGE(Data!E$7:E$52))/_xlfn.STDEV.P(Data!E$7:E$52))</f>
        <v>-0.46712583372136768</v>
      </c>
      <c r="F21" s="12" t="str">
        <f>IF(Data!F23="","",(Data!F23-AVERAGE(Data!F$7:F$52))/_xlfn.STDEV.P(Data!F$7:F$52))</f>
        <v/>
      </c>
      <c r="G21" s="12" t="str">
        <f>IF(Data!G23="","",(Data!G23-AVERAGE(Data!G$7:G$52))/_xlfn.STDEV.P(Data!G$7:G$52))</f>
        <v/>
      </c>
    </row>
    <row r="22" spans="1:7" x14ac:dyDescent="0.35">
      <c r="A22" s="7">
        <v>1997</v>
      </c>
      <c r="B22" s="12">
        <f>IF(Data!B24="","",(Data!B24-AVERAGE(Data!B$7:B$52))/_xlfn.STDEV.P(Data!B$7:B$52))</f>
        <v>0.58802265852564295</v>
      </c>
      <c r="C22" s="12">
        <f>IF(Data!C24="","",(Data!C24-AVERAGE(Data!C$7:C$52))/_xlfn.STDEV.P(Data!C$7:C$52))</f>
        <v>0.83681405279006449</v>
      </c>
      <c r="D22" s="12">
        <f>IF(Data!D24="","",(Data!D24-AVERAGE(Data!D$7:D$52))/_xlfn.STDEV.P(Data!D$7:D$52))</f>
        <v>0.35127079730072625</v>
      </c>
      <c r="E22" s="12">
        <f>IF(Data!E24="","",(Data!E24-AVERAGE(Data!E$7:E$52))/_xlfn.STDEV.P(Data!E$7:E$52))</f>
        <v>2.3817026966075829E-2</v>
      </c>
      <c r="F22" s="12" t="str">
        <f>IF(Data!F24="","",(Data!F24-AVERAGE(Data!F$7:F$52))/_xlfn.STDEV.P(Data!F$7:F$52))</f>
        <v/>
      </c>
      <c r="G22" s="12" t="str">
        <f>IF(Data!G24="","",(Data!G24-AVERAGE(Data!G$7:G$52))/_xlfn.STDEV.P(Data!G$7:G$52))</f>
        <v/>
      </c>
    </row>
    <row r="23" spans="1:7" x14ac:dyDescent="0.35">
      <c r="A23" s="7">
        <v>1998</v>
      </c>
      <c r="B23" s="12">
        <f>IF(Data!B25="","",(Data!B25-AVERAGE(Data!B$7:B$52))/_xlfn.STDEV.P(Data!B$7:B$52))</f>
        <v>0.61009071175229801</v>
      </c>
      <c r="C23" s="12">
        <f>IF(Data!C25="","",(Data!C25-AVERAGE(Data!C$7:C$52))/_xlfn.STDEV.P(Data!C$7:C$52))</f>
        <v>1.4546572090905638</v>
      </c>
      <c r="D23" s="12">
        <f>IF(Data!D25="","",(Data!D25-AVERAGE(Data!D$7:D$52))/_xlfn.STDEV.P(Data!D$7:D$52))</f>
        <v>1.2931548677329001</v>
      </c>
      <c r="E23" s="12">
        <f>IF(Data!E25="","",(Data!E25-AVERAGE(Data!E$7:E$52))/_xlfn.STDEV.P(Data!E$7:E$52))</f>
        <v>-0.99794297592791925</v>
      </c>
      <c r="F23" s="12">
        <f>IF(Data!F25="","",(Data!F25-AVERAGE(Data!F$7:F$52))/_xlfn.STDEV.P(Data!F$7:F$52))</f>
        <v>-2.6122893485107621</v>
      </c>
      <c r="G23" s="12">
        <f>IF(Data!G25="","",(Data!G25-AVERAGE(Data!G$7:G$52))/_xlfn.STDEV.P(Data!G$7:G$52))</f>
        <v>0.22065376792127986</v>
      </c>
    </row>
    <row r="24" spans="1:7" x14ac:dyDescent="0.35">
      <c r="A24" s="7">
        <v>1999</v>
      </c>
      <c r="B24" s="12">
        <f>IF(Data!B26="","",(Data!B26-AVERAGE(Data!B$7:B$52))/_xlfn.STDEV.P(Data!B$7:B$52))</f>
        <v>-0.22197812469274208</v>
      </c>
      <c r="C24" s="12">
        <f>IF(Data!C26="","",(Data!C26-AVERAGE(Data!C$7:C$52))/_xlfn.STDEV.P(Data!C$7:C$52))</f>
        <v>0.5015106007930098</v>
      </c>
      <c r="D24" s="12">
        <f>IF(Data!D26="","",(Data!D26-AVERAGE(Data!D$7:D$52))/_xlfn.STDEV.P(Data!D$7:D$52))</f>
        <v>2.9595651461898229</v>
      </c>
      <c r="E24" s="12">
        <f>IF(Data!E26="","",(Data!E26-AVERAGE(Data!E$7:E$52))/_xlfn.STDEV.P(Data!E$7:E$52))</f>
        <v>-2.7031206953560676</v>
      </c>
      <c r="F24" s="12">
        <f>IF(Data!F26="","",(Data!F26-AVERAGE(Data!F$7:F$52))/_xlfn.STDEV.P(Data!F$7:F$52))</f>
        <v>-1.9586787734899582</v>
      </c>
      <c r="G24" s="12">
        <f>IF(Data!G26="","",(Data!G26-AVERAGE(Data!G$7:G$52))/_xlfn.STDEV.P(Data!G$7:G$52))</f>
        <v>-0.86861647054417812</v>
      </c>
    </row>
    <row r="25" spans="1:7" x14ac:dyDescent="0.35">
      <c r="A25" s="7">
        <v>2000</v>
      </c>
      <c r="B25" s="12">
        <f>IF(Data!B27="","",(Data!B27-AVERAGE(Data!B$7:B$52))/_xlfn.STDEV.P(Data!B$7:B$52))</f>
        <v>-0.39774128753770766</v>
      </c>
      <c r="C25" s="12">
        <f>IF(Data!C27="","",(Data!C27-AVERAGE(Data!C$7:C$52))/_xlfn.STDEV.P(Data!C$7:C$52))</f>
        <v>-0.3311198177621556</v>
      </c>
      <c r="D25" s="12">
        <f>IF(Data!D27="","",(Data!D27-AVERAGE(Data!D$7:D$52))/_xlfn.STDEV.P(Data!D$7:D$52))</f>
        <v>3.1120449799695771</v>
      </c>
      <c r="E25" s="12">
        <f>IF(Data!E27="","",(Data!E27-AVERAGE(Data!E$7:E$52))/_xlfn.STDEV.P(Data!E$7:E$52))</f>
        <v>-0.15672087581564423</v>
      </c>
      <c r="F25" s="12">
        <f>IF(Data!F27="","",(Data!F27-AVERAGE(Data!F$7:F$52))/_xlfn.STDEV.P(Data!F$7:F$52))</f>
        <v>-2.0235702784670613</v>
      </c>
      <c r="G25" s="12">
        <f>IF(Data!G27="","",(Data!G27-AVERAGE(Data!G$7:G$52))/_xlfn.STDEV.P(Data!G$7:G$52))</f>
        <v>0.32540974742621825</v>
      </c>
    </row>
    <row r="26" spans="1:7" x14ac:dyDescent="0.35">
      <c r="A26" s="7">
        <v>2001</v>
      </c>
      <c r="B26" s="12">
        <f>IF(Data!B28="","",(Data!B28-AVERAGE(Data!B$7:B$52))/_xlfn.STDEV.P(Data!B$7:B$52))</f>
        <v>-0.53207300618613163</v>
      </c>
      <c r="C26" s="12">
        <f>IF(Data!C28="","",(Data!C28-AVERAGE(Data!C$7:C$52))/_xlfn.STDEV.P(Data!C$7:C$52))</f>
        <v>-0.17981500368893852</v>
      </c>
      <c r="D26" s="12">
        <f>IF(Data!D28="","",(Data!D28-AVERAGE(Data!D$7:D$52))/_xlfn.STDEV.P(Data!D$7:D$52))</f>
        <v>1.3063280715151679</v>
      </c>
      <c r="E26" s="12">
        <f>IF(Data!E28="","",(Data!E28-AVERAGE(Data!E$7:E$52))/_xlfn.STDEV.P(Data!E$7:E$52))</f>
        <v>-0.60213000881208556</v>
      </c>
      <c r="F26" s="12" t="str">
        <f>IF(Data!F28="","",(Data!F28-AVERAGE(Data!F$7:F$52))/_xlfn.STDEV.P(Data!F$7:F$52))</f>
        <v/>
      </c>
      <c r="G26" s="12" t="str">
        <f>IF(Data!G28="","",(Data!G28-AVERAGE(Data!G$7:G$52))/_xlfn.STDEV.P(Data!G$7:G$52))</f>
        <v/>
      </c>
    </row>
    <row r="27" spans="1:7" x14ac:dyDescent="0.35">
      <c r="A27" s="7">
        <v>2002</v>
      </c>
      <c r="B27" s="12">
        <f>IF(Data!B29="","",(Data!B29-AVERAGE(Data!B$7:B$52))/_xlfn.STDEV.P(Data!B$7:B$52))</f>
        <v>-0.7041803127829348</v>
      </c>
      <c r="C27" s="12">
        <f>IF(Data!C29="","",(Data!C29-AVERAGE(Data!C$7:C$52))/_xlfn.STDEV.P(Data!C$7:C$52))</f>
        <v>-0.52363184596829437</v>
      </c>
      <c r="D27" s="12">
        <f>IF(Data!D29="","",(Data!D29-AVERAGE(Data!D$7:D$52))/_xlfn.STDEV.P(Data!D$7:D$52))</f>
        <v>1.1222325486579705</v>
      </c>
      <c r="E27" s="12">
        <f>IF(Data!E29="","",(Data!E29-AVERAGE(Data!E$7:E$52))/_xlfn.STDEV.P(Data!E$7:E$52))</f>
        <v>-0.30705751124085334</v>
      </c>
      <c r="F27" s="12" t="str">
        <f>IF(Data!F29="","",(Data!F29-AVERAGE(Data!F$7:F$52))/_xlfn.STDEV.P(Data!F$7:F$52))</f>
        <v/>
      </c>
      <c r="G27" s="12" t="str">
        <f>IF(Data!G29="","",(Data!G29-AVERAGE(Data!G$7:G$52))/_xlfn.STDEV.P(Data!G$7:G$52))</f>
        <v/>
      </c>
    </row>
    <row r="28" spans="1:7" x14ac:dyDescent="0.35">
      <c r="A28" s="7">
        <v>2003</v>
      </c>
      <c r="B28" s="12">
        <f>IF(Data!B30="","",(Data!B30-AVERAGE(Data!B$7:B$52))/_xlfn.STDEV.P(Data!B$7:B$52))</f>
        <v>-0.62119180223031623</v>
      </c>
      <c r="C28" s="12">
        <f>IF(Data!C30="","",(Data!C30-AVERAGE(Data!C$7:C$52))/_xlfn.STDEV.P(Data!C$7:C$52))</f>
        <v>-0.61282581361740218</v>
      </c>
      <c r="D28" s="12">
        <f>IF(Data!D30="","",(Data!D30-AVERAGE(Data!D$7:D$52))/_xlfn.STDEV.P(Data!D$7:D$52))</f>
        <v>0.70727662951652326</v>
      </c>
      <c r="E28" s="12">
        <f>IF(Data!E30="","",(Data!E30-AVERAGE(Data!E$7:E$52))/_xlfn.STDEV.P(Data!E$7:E$52))</f>
        <v>0.19812045694794403</v>
      </c>
      <c r="F28" s="12">
        <f>IF(Data!F30="","",(Data!F30-AVERAGE(Data!F$7:F$52))/_xlfn.STDEV.P(Data!F$7:F$52))</f>
        <v>-0.35735429934566604</v>
      </c>
      <c r="G28" s="12">
        <f>IF(Data!G30="","",(Data!G30-AVERAGE(Data!G$7:G$52))/_xlfn.STDEV.P(Data!G$7:G$52))</f>
        <v>-0.44406793694632041</v>
      </c>
    </row>
    <row r="29" spans="1:7" x14ac:dyDescent="0.35">
      <c r="A29" s="7">
        <v>2004</v>
      </c>
      <c r="B29" s="12">
        <f>IF(Data!B31="","",(Data!B31-AVERAGE(Data!B$7:B$52))/_xlfn.STDEV.P(Data!B$7:B$52))</f>
        <v>-0.75189608973331934</v>
      </c>
      <c r="C29" s="12">
        <f>IF(Data!C31="","",(Data!C31-AVERAGE(Data!C$7:C$52))/_xlfn.STDEV.P(Data!C$7:C$52))</f>
        <v>-0.62096844613331281</v>
      </c>
      <c r="D29" s="12">
        <f>IF(Data!D31="","",(Data!D31-AVERAGE(Data!D$7:D$52))/_xlfn.STDEV.P(Data!D$7:D$52))</f>
        <v>0.8706243564166487</v>
      </c>
      <c r="E29" s="12">
        <f>IF(Data!E31="","",(Data!E31-AVERAGE(Data!E$7:E$52))/_xlfn.STDEV.P(Data!E$7:E$52))</f>
        <v>0.70346228043866921</v>
      </c>
      <c r="F29" s="12" t="str">
        <f>IF(Data!F31="","",(Data!F31-AVERAGE(Data!F$7:F$52))/_xlfn.STDEV.P(Data!F$7:F$52))</f>
        <v/>
      </c>
      <c r="G29" s="12" t="str">
        <f>IF(Data!G31="","",(Data!G31-AVERAGE(Data!G$7:G$52))/_xlfn.STDEV.P(Data!G$7:G$52))</f>
        <v/>
      </c>
    </row>
    <row r="30" spans="1:7" x14ac:dyDescent="0.35">
      <c r="A30" s="7">
        <v>2005</v>
      </c>
      <c r="B30" s="12">
        <f>IF(Data!B32="","",(Data!B32-AVERAGE(Data!B$7:B$52))/_xlfn.STDEV.P(Data!B$7:B$52))</f>
        <v>-0.84285193215318566</v>
      </c>
      <c r="C30" s="12">
        <f>IF(Data!C32="","",(Data!C32-AVERAGE(Data!C$7:C$52))/_xlfn.STDEV.P(Data!C$7:C$52))</f>
        <v>-0.66183822817821281</v>
      </c>
      <c r="D30" s="12">
        <f>IF(Data!D32="","",(Data!D32-AVERAGE(Data!D$7:D$52))/_xlfn.STDEV.P(Data!D$7:D$52))</f>
        <v>-3.7470446314012856E-3</v>
      </c>
      <c r="E30" s="12">
        <f>IF(Data!E32="","",(Data!E32-AVERAGE(Data!E$7:E$52))/_xlfn.STDEV.P(Data!E$7:E$52))</f>
        <v>0.52334273750549443</v>
      </c>
      <c r="F30" s="12" t="str">
        <f>IF(Data!F32="","",(Data!F32-AVERAGE(Data!F$7:F$52))/_xlfn.STDEV.P(Data!F$7:F$52))</f>
        <v/>
      </c>
      <c r="G30" s="12" t="str">
        <f>IF(Data!G32="","",(Data!G32-AVERAGE(Data!G$7:G$52))/_xlfn.STDEV.P(Data!G$7:G$52))</f>
        <v/>
      </c>
    </row>
    <row r="31" spans="1:7" x14ac:dyDescent="0.35">
      <c r="A31" s="7">
        <v>2006</v>
      </c>
      <c r="B31" s="12">
        <f>IF(Data!B33="","",(Data!B33-AVERAGE(Data!B$7:B$52))/_xlfn.STDEV.P(Data!B$7:B$52))</f>
        <v>-0.92363475386326466</v>
      </c>
      <c r="C31" s="12">
        <f>IF(Data!C33="","",(Data!C33-AVERAGE(Data!C$7:C$52))/_xlfn.STDEV.P(Data!C$7:C$52))</f>
        <v>-0.79229325832012387</v>
      </c>
      <c r="D31" s="12" t="str">
        <f>IF(Data!D33="","",(Data!D33-AVERAGE(Data!D$7:D$52))/_xlfn.STDEV.P(Data!D$7:D$52))</f>
        <v/>
      </c>
      <c r="E31" s="12">
        <f>IF(Data!E33="","",(Data!E33-AVERAGE(Data!E$7:E$52))/_xlfn.STDEV.P(Data!E$7:E$52))</f>
        <v>1.1977655132445599</v>
      </c>
      <c r="F31" s="12" t="str">
        <f>IF(Data!F33="","",(Data!F33-AVERAGE(Data!F$7:F$52))/_xlfn.STDEV.P(Data!F$7:F$52))</f>
        <v/>
      </c>
      <c r="G31" s="12" t="str">
        <f>IF(Data!G33="","",(Data!G33-AVERAGE(Data!G$7:G$52))/_xlfn.STDEV.P(Data!G$7:G$52))</f>
        <v/>
      </c>
    </row>
    <row r="32" spans="1:7" x14ac:dyDescent="0.35">
      <c r="A32" s="7">
        <v>2007</v>
      </c>
      <c r="B32" s="12">
        <f>IF(Data!B34="","",(Data!B34-AVERAGE(Data!B$7:B$52))/_xlfn.STDEV.P(Data!B$7:B$52))</f>
        <v>-0.79024416230157501</v>
      </c>
      <c r="C32" s="12">
        <f>IF(Data!C34="","",(Data!C34-AVERAGE(Data!C$7:C$52))/_xlfn.STDEV.P(Data!C$7:C$52))</f>
        <v>-0.59758454400675209</v>
      </c>
      <c r="D32" s="12">
        <f>IF(Data!D34="","",(Data!D34-AVERAGE(Data!D$7:D$52))/_xlfn.STDEV.P(Data!D$7:D$52))</f>
        <v>-0.27050442122233126</v>
      </c>
      <c r="E32" s="12">
        <f>IF(Data!E34="","",(Data!E34-AVERAGE(Data!E$7:E$52))/_xlfn.STDEV.P(Data!E$7:E$52))</f>
        <v>1.2053830532115197</v>
      </c>
      <c r="F32" s="12" t="str">
        <f>IF(Data!F34="","",(Data!F34-AVERAGE(Data!F$7:F$52))/_xlfn.STDEV.P(Data!F$7:F$52))</f>
        <v/>
      </c>
      <c r="G32" s="12" t="str">
        <f>IF(Data!G34="","",(Data!G34-AVERAGE(Data!G$7:G$52))/_xlfn.STDEV.P(Data!G$7:G$52))</f>
        <v/>
      </c>
    </row>
    <row r="33" spans="1:7" x14ac:dyDescent="0.35">
      <c r="A33" s="7">
        <v>2008</v>
      </c>
      <c r="B33" s="12">
        <f>IF(Data!B35="","",(Data!B35-AVERAGE(Data!B$7:B$52))/_xlfn.STDEV.P(Data!B$7:B$52))</f>
        <v>-0.63536338434564077</v>
      </c>
      <c r="C33" s="12">
        <f>IF(Data!C35="","",(Data!C35-AVERAGE(Data!C$7:C$52))/_xlfn.STDEV.P(Data!C$7:C$52))</f>
        <v>-0.4572018733022834</v>
      </c>
      <c r="D33" s="12">
        <f>IF(Data!D35="","",(Data!D35-AVERAGE(Data!D$7:D$52))/_xlfn.STDEV.P(Data!D$7:D$52))</f>
        <v>-0.1822439558811349</v>
      </c>
      <c r="E33" s="12">
        <f>IF(Data!E35="","",(Data!E35-AVERAGE(Data!E$7:E$52))/_xlfn.STDEV.P(Data!E$7:E$52))</f>
        <v>-2.8636177217024647E-2</v>
      </c>
      <c r="F33" s="12">
        <f>IF(Data!F35="","",(Data!F35-AVERAGE(Data!F$7:F$52))/_xlfn.STDEV.P(Data!F$7:F$52))</f>
        <v>0.25072006876271069</v>
      </c>
      <c r="G33" s="12">
        <f>IF(Data!G35="","",(Data!G35-AVERAGE(Data!G$7:G$52))/_xlfn.STDEV.P(Data!G$7:G$52))</f>
        <v>-0.71348763589319264</v>
      </c>
    </row>
    <row r="34" spans="1:7" x14ac:dyDescent="0.35">
      <c r="A34" s="7">
        <v>2009</v>
      </c>
      <c r="B34" s="12">
        <f>IF(Data!B36="","",(Data!B36-AVERAGE(Data!B$7:B$52))/_xlfn.STDEV.P(Data!B$7:B$52))</f>
        <v>-0.93332821319130155</v>
      </c>
      <c r="C34" s="12">
        <f>IF(Data!C36="","",(Data!C36-AVERAGE(Data!C$7:C$52))/_xlfn.STDEV.P(Data!C$7:C$52))</f>
        <v>-0.78335885107589576</v>
      </c>
      <c r="D34" s="12">
        <f>IF(Data!D36="","",(Data!D36-AVERAGE(Data!D$7:D$52))/_xlfn.STDEV.P(Data!D$7:D$52))</f>
        <v>8.089078966967217E-2</v>
      </c>
      <c r="E34" s="12">
        <f>IF(Data!E36="","",(Data!E36-AVERAGE(Data!E$7:E$52))/_xlfn.STDEV.P(Data!E$7:E$52))</f>
        <v>-0.79439014967477473</v>
      </c>
      <c r="F34" s="12">
        <f>IF(Data!F36="","",(Data!F36-AVERAGE(Data!F$7:F$52))/_xlfn.STDEV.P(Data!F$7:F$52))</f>
        <v>0.43032080055098942</v>
      </c>
      <c r="G34" s="12">
        <f>IF(Data!G36="","",(Data!G36-AVERAGE(Data!G$7:G$52))/_xlfn.STDEV.P(Data!G$7:G$52))</f>
        <v>-1.2553831060624534</v>
      </c>
    </row>
    <row r="35" spans="1:7" x14ac:dyDescent="0.35">
      <c r="A35" s="7">
        <v>2010</v>
      </c>
      <c r="B35" s="12">
        <f>IF(Data!B37="","",(Data!B37-AVERAGE(Data!B$7:B$52))/_xlfn.STDEV.P(Data!B$7:B$52))</f>
        <v>-1.1391798770394261</v>
      </c>
      <c r="C35" s="12">
        <f>IF(Data!C37="","",(Data!C37-AVERAGE(Data!C$7:C$52))/_xlfn.STDEV.P(Data!C$7:C$52))</f>
        <v>-1.0671793952275113</v>
      </c>
      <c r="D35" s="12">
        <f>IF(Data!D37="","",(Data!D37-AVERAGE(Data!D$7:D$52))/_xlfn.STDEV.P(Data!D$7:D$52))</f>
        <v>2.6221993973259153E-2</v>
      </c>
      <c r="E35" s="12">
        <f>IF(Data!E37="","",(Data!E37-AVERAGE(Data!E$7:E$52))/_xlfn.STDEV.P(Data!E$7:E$52))</f>
        <v>0.40400309195564571</v>
      </c>
      <c r="F35" s="12">
        <f>IF(Data!F37="","",(Data!F37-AVERAGE(Data!F$7:F$52))/_xlfn.STDEV.P(Data!F$7:F$52))</f>
        <v>0.59555621998130492</v>
      </c>
      <c r="G35" s="12">
        <f>IF(Data!G37="","",(Data!G37-AVERAGE(Data!G$7:G$52))/_xlfn.STDEV.P(Data!G$7:G$52))</f>
        <v>-0.24862114204008876</v>
      </c>
    </row>
    <row r="36" spans="1:7" x14ac:dyDescent="0.35">
      <c r="A36" s="7">
        <v>2011</v>
      </c>
      <c r="B36" s="12">
        <f>IF(Data!B38="","",(Data!B38-AVERAGE(Data!B$7:B$52))/_xlfn.STDEV.P(Data!B$7:B$52))</f>
        <v>-1.0172979184936923</v>
      </c>
      <c r="C36" s="12">
        <f>IF(Data!C38="","",(Data!C38-AVERAGE(Data!C$7:C$52))/_xlfn.STDEV.P(Data!C$7:C$52))</f>
        <v>-0.92330193802421201</v>
      </c>
      <c r="D36" s="12">
        <f>IF(Data!D38="","",(Data!D38-AVERAGE(Data!D$7:D$52))/_xlfn.STDEV.P(Data!D$7:D$52))</f>
        <v>-0.25864853781829006</v>
      </c>
      <c r="E36" s="12">
        <f>IF(Data!E38="","",(Data!E38-AVERAGE(Data!E$7:E$52))/_xlfn.STDEV.P(Data!E$7:E$52))</f>
        <v>1.2802858975408364</v>
      </c>
      <c r="F36" s="12">
        <f>IF(Data!F38="","",(Data!F38-AVERAGE(Data!F$7:F$52))/_xlfn.STDEV.P(Data!F$7:F$52))</f>
        <v>0.13661588770122049</v>
      </c>
      <c r="G36" s="12">
        <f>IF(Data!G38="","",(Data!G38-AVERAGE(Data!G$7:G$52))/_xlfn.STDEV.P(Data!G$7:G$52))</f>
        <v>1.1444582379036639</v>
      </c>
    </row>
    <row r="37" spans="1:7" x14ac:dyDescent="0.35">
      <c r="A37" s="7">
        <v>2012</v>
      </c>
      <c r="B37" s="12">
        <f>IF(Data!B39="","",(Data!B39-AVERAGE(Data!B$7:B$52))/_xlfn.STDEV.P(Data!B$7:B$52))</f>
        <v>-1.0435003918364474</v>
      </c>
      <c r="C37" s="12">
        <f>IF(Data!C39="","",(Data!C39-AVERAGE(Data!C$7:C$52))/_xlfn.STDEV.P(Data!C$7:C$52))</f>
        <v>-0.81646599297527811</v>
      </c>
      <c r="D37" s="12">
        <f>IF(Data!D39="","",(Data!D39-AVERAGE(Data!D$7:D$52))/_xlfn.STDEV.P(Data!D$7:D$52))</f>
        <v>-0.36699813892744593</v>
      </c>
      <c r="E37" s="12">
        <f>IF(Data!E39="","",(Data!E39-AVERAGE(Data!E$7:E$52))/_xlfn.STDEV.P(Data!E$7:E$52))</f>
        <v>0.19610725677470076</v>
      </c>
      <c r="F37" s="12">
        <f>IF(Data!F39="","",(Data!F39-AVERAGE(Data!F$7:F$52))/_xlfn.STDEV.P(Data!F$7:F$52))</f>
        <v>0.24988833753600104</v>
      </c>
      <c r="G37" s="12">
        <f>IF(Data!G39="","",(Data!G39-AVERAGE(Data!G$7:G$52))/_xlfn.STDEV.P(Data!G$7:G$52))</f>
        <v>2.6760673731262536</v>
      </c>
    </row>
    <row r="38" spans="1:7" x14ac:dyDescent="0.35">
      <c r="A38" s="7">
        <v>2013</v>
      </c>
      <c r="B38" s="12">
        <f>IF(Data!B40="","",(Data!B40-AVERAGE(Data!B$7:B$52))/_xlfn.STDEV.P(Data!B$7:B$52))</f>
        <v>-1.1663717187506009</v>
      </c>
      <c r="C38" s="12">
        <f>IF(Data!C40="","",(Data!C40-AVERAGE(Data!C$7:C$52))/_xlfn.STDEV.P(Data!C$7:C$52))</f>
        <v>-0.9416410422275614</v>
      </c>
      <c r="D38" s="12">
        <f>IF(Data!D40="","",(Data!D40-AVERAGE(Data!D$7:D$52))/_xlfn.STDEV.P(Data!D$7:D$52))</f>
        <v>-0.60181049634637573</v>
      </c>
      <c r="E38" s="12">
        <f>IF(Data!E40="","",(Data!E40-AVERAGE(Data!E$7:E$52))/_xlfn.STDEV.P(Data!E$7:E$52))</f>
        <v>0.63237025887541676</v>
      </c>
      <c r="F38" s="12">
        <f>IF(Data!F40="","",(Data!F40-AVERAGE(Data!F$7:F$52))/_xlfn.STDEV.P(Data!F$7:F$52))</f>
        <v>0.33960519486883339</v>
      </c>
      <c r="G38" s="12">
        <f>IF(Data!G40="","",(Data!G40-AVERAGE(Data!G$7:G$52))/_xlfn.STDEV.P(Data!G$7:G$52))</f>
        <v>-0.63770766430030945</v>
      </c>
    </row>
    <row r="39" spans="1:7" x14ac:dyDescent="0.35">
      <c r="A39" s="7">
        <v>2014</v>
      </c>
      <c r="B39" s="12">
        <f>IF(Data!B41="","",(Data!B41-AVERAGE(Data!B$7:B$52))/_xlfn.STDEV.P(Data!B$7:B$52))</f>
        <v>-1.0723400982670015</v>
      </c>
      <c r="C39" s="12">
        <f>IF(Data!C41="","",(Data!C41-AVERAGE(Data!C$7:C$52))/_xlfn.STDEV.P(Data!C$7:C$52))</f>
        <v>-0.95089550727152183</v>
      </c>
      <c r="D39" s="12">
        <f>IF(Data!D41="","",(Data!D41-AVERAGE(Data!D$7:D$52))/_xlfn.STDEV.P(Data!D$7:D$52))</f>
        <v>-0.74902104861322283</v>
      </c>
      <c r="E39" s="12">
        <f>IF(Data!E41="","",(Data!E41-AVERAGE(Data!E$7:E$52))/_xlfn.STDEV.P(Data!E$7:E$52))</f>
        <v>0.40556440258754761</v>
      </c>
      <c r="F39" s="12">
        <f>IF(Data!F41="","",(Data!F41-AVERAGE(Data!F$7:F$52))/_xlfn.STDEV.P(Data!F$7:F$52))</f>
        <v>-0.57548467457776808</v>
      </c>
      <c r="G39" s="12">
        <f>IF(Data!G41="","",(Data!G41-AVERAGE(Data!G$7:G$52))/_xlfn.STDEV.P(Data!G$7:G$52))</f>
        <v>-9.1599179005123849E-2</v>
      </c>
    </row>
    <row r="40" spans="1:7" x14ac:dyDescent="0.35">
      <c r="A40" s="7">
        <v>2015</v>
      </c>
      <c r="B40" s="12">
        <f>IF(Data!B42="","",(Data!B42-AVERAGE(Data!B$7:B$52))/_xlfn.STDEV.P(Data!B$7:B$52))</f>
        <v>-0.84937648771430885</v>
      </c>
      <c r="C40" s="12">
        <f>IF(Data!C42="","",(Data!C42-AVERAGE(Data!C$7:C$52))/_xlfn.STDEV.P(Data!C$7:C$52))</f>
        <v>-0.90529649737296802</v>
      </c>
      <c r="D40" s="12">
        <f>IF(Data!D42="","",(Data!D42-AVERAGE(Data!D$7:D$52))/_xlfn.STDEV.P(Data!D$7:D$52))</f>
        <v>-0.82377898007759476</v>
      </c>
      <c r="E40" s="12">
        <f>IF(Data!E42="","",(Data!E42-AVERAGE(Data!E$7:E$52))/_xlfn.STDEV.P(Data!E$7:E$52))</f>
        <v>-0.14563357801493729</v>
      </c>
      <c r="F40" s="12">
        <f>IF(Data!F42="","",(Data!F42-AVERAGE(Data!F$7:F$52))/_xlfn.STDEV.P(Data!F$7:F$52))</f>
        <v>-0.32179856077681379</v>
      </c>
      <c r="G40" s="12">
        <f>IF(Data!G42="","",(Data!G42-AVERAGE(Data!G$7:G$52))/_xlfn.STDEV.P(Data!G$7:G$52))</f>
        <v>1.0100633734070106</v>
      </c>
    </row>
    <row r="41" spans="1:7" x14ac:dyDescent="0.35">
      <c r="A41" s="7">
        <v>2016</v>
      </c>
      <c r="B41" s="12">
        <f>IF(Data!B43="","",(Data!B43-AVERAGE(Data!B$7:B$52))/_xlfn.STDEV.P(Data!B$7:B$52))</f>
        <v>-0.58028071478513643</v>
      </c>
      <c r="C41" s="12">
        <f>IF(Data!C43="","",(Data!C43-AVERAGE(Data!C$7:C$52))/_xlfn.STDEV.P(Data!C$7:C$52))</f>
        <v>-0.65521745737544534</v>
      </c>
      <c r="D41" s="12">
        <f>IF(Data!D43="","",(Data!D43-AVERAGE(Data!D$7:D$52))/_xlfn.STDEV.P(Data!D$7:D$52))</f>
        <v>-0.70851344698274787</v>
      </c>
      <c r="E41" s="12">
        <f>IF(Data!E43="","",(Data!E43-AVERAGE(Data!E$7:E$52))/_xlfn.STDEV.P(Data!E$7:E$52))</f>
        <v>-0.45586426212958564</v>
      </c>
      <c r="F41" s="12">
        <f>IF(Data!F43="","",(Data!F43-AVERAGE(Data!F$7:F$52))/_xlfn.STDEV.P(Data!F$7:F$52))</f>
        <v>0.33023978473607385</v>
      </c>
      <c r="G41" s="12">
        <f>IF(Data!G43="","",(Data!G43-AVERAGE(Data!G$7:G$52))/_xlfn.STDEV.P(Data!G$7:G$52))</f>
        <v>0.35712217593709233</v>
      </c>
    </row>
    <row r="42" spans="1:7" x14ac:dyDescent="0.35">
      <c r="A42" s="7">
        <v>2017</v>
      </c>
      <c r="B42" s="12">
        <f>IF(Data!B44="","",(Data!B44-AVERAGE(Data!B$7:B$52))/_xlfn.STDEV.P(Data!B$7:B$52))</f>
        <v>-0.92140728365175772</v>
      </c>
      <c r="C42" s="12">
        <f>IF(Data!C44="","",(Data!C44-AVERAGE(Data!C$7:C$52))/_xlfn.STDEV.P(Data!C$7:C$52))</f>
        <v>-0.73031693601043057</v>
      </c>
      <c r="D42" s="12">
        <f>IF(Data!D44="","",(Data!D44-AVERAGE(Data!D$7:D$52))/_xlfn.STDEV.P(Data!D$7:D$52))</f>
        <v>-0.65450331147544849</v>
      </c>
      <c r="E42" s="12">
        <f>IF(Data!E44="","",(Data!E44-AVERAGE(Data!E$7:E$52))/_xlfn.STDEV.P(Data!E$7:E$52))</f>
        <v>-0.715910020878743</v>
      </c>
      <c r="F42" s="12">
        <f>IF(Data!F44="","",(Data!F44-AVERAGE(Data!F$7:F$52))/_xlfn.STDEV.P(Data!F$7:F$52))</f>
        <v>0.32163211806017716</v>
      </c>
      <c r="G42" s="12">
        <f>IF(Data!G44="","",(Data!G44-AVERAGE(Data!G$7:G$52))/_xlfn.STDEV.P(Data!G$7:G$52))</f>
        <v>0.69432432558134571</v>
      </c>
    </row>
    <row r="43" spans="1:7" x14ac:dyDescent="0.35">
      <c r="A43" s="7">
        <v>2018</v>
      </c>
      <c r="B43" s="12">
        <f>IF(Data!B45="","",(Data!B45-AVERAGE(Data!B$7:B$52))/_xlfn.STDEV.P(Data!B$7:B$52))</f>
        <v>-1.0359011106314933</v>
      </c>
      <c r="C43" s="12">
        <f>IF(Data!C45="","",(Data!C45-AVERAGE(Data!C$7:C$52))/_xlfn.STDEV.P(Data!C$7:C$52))</f>
        <v>-0.85326142931777171</v>
      </c>
      <c r="D43" s="12">
        <f>IF(Data!D45="","",(Data!D45-AVERAGE(Data!D$7:D$52))/_xlfn.STDEV.P(Data!D$7:D$52))</f>
        <v>-0.56426686556691186</v>
      </c>
      <c r="E43" s="12">
        <f>IF(Data!E45="","",(Data!E45-AVERAGE(Data!E$7:E$52))/_xlfn.STDEV.P(Data!E$7:E$52))</f>
        <v>-0.28550299591163081</v>
      </c>
      <c r="F43" s="12">
        <f>IF(Data!F45="","",(Data!F45-AVERAGE(Data!F$7:F$52))/_xlfn.STDEV.P(Data!F$7:F$52))</f>
        <v>0.55718098215233591</v>
      </c>
      <c r="G43" s="12">
        <f>IF(Data!G45="","",(Data!G45-AVERAGE(Data!G$7:G$52))/_xlfn.STDEV.P(Data!G$7:G$52))</f>
        <v>0.52865624335113404</v>
      </c>
    </row>
    <row r="44" spans="1:7" x14ac:dyDescent="0.35">
      <c r="A44" s="7">
        <v>2019</v>
      </c>
      <c r="B44" s="12">
        <f>IF(Data!B46="","",(Data!B46-AVERAGE(Data!B$7:B$52))/_xlfn.STDEV.P(Data!B$7:B$52))</f>
        <v>-1.0057833326573378</v>
      </c>
      <c r="C44" s="12">
        <f>IF(Data!C46="","",(Data!C46-AVERAGE(Data!C$7:C$52))/_xlfn.STDEV.P(Data!C$7:C$52))</f>
        <v>-0.88032508892876904</v>
      </c>
      <c r="D44" s="12">
        <f>IF(Data!D46="","",(Data!D46-AVERAGE(Data!D$7:D$52))/_xlfn.STDEV.P(Data!D$7:D$52))</f>
        <v>-0.26128317857474398</v>
      </c>
      <c r="E44" s="12">
        <f>IF(Data!E46="","",(Data!E46-AVERAGE(Data!E$7:E$52))/_xlfn.STDEV.P(Data!E$7:E$52))</f>
        <v>-6.3137935234115303E-2</v>
      </c>
      <c r="F44" s="12">
        <f>IF(Data!F46="","",(Data!F46-AVERAGE(Data!F$7:F$52))/_xlfn.STDEV.P(Data!F$7:F$52))</f>
        <v>0.60757491540040975</v>
      </c>
      <c r="G44" s="12">
        <f>IF(Data!G46="","",(Data!G46-AVERAGE(Data!G$7:G$52))/_xlfn.STDEV.P(Data!G$7:G$52))</f>
        <v>0.67845774731479225</v>
      </c>
    </row>
    <row r="45" spans="1:7" x14ac:dyDescent="0.35">
      <c r="A45" s="7">
        <v>2020</v>
      </c>
      <c r="B45" s="12">
        <f>IF(Data!B47="","",(Data!B47-AVERAGE(Data!B$7:B$52))/_xlfn.STDEV.P(Data!B$7:B$52))</f>
        <v>-1.1120282684881722</v>
      </c>
      <c r="C45" s="12">
        <f>IF(Data!C47="","",(Data!C47-AVERAGE(Data!C$7:C$52))/_xlfn.STDEV.P(Data!C$7:C$52))</f>
        <v>-1.0304722488088518</v>
      </c>
      <c r="D45" s="12">
        <f>IF(Data!D47="","",(Data!D47-AVERAGE(Data!D$7:D$52))/_xlfn.STDEV.P(Data!D$7:D$52))</f>
        <v>1.4802143614411079</v>
      </c>
      <c r="E45" s="12">
        <f>IF(Data!E47="","",(Data!E47-AVERAGE(Data!E$7:E$52))/_xlfn.STDEV.P(Data!E$7:E$52))</f>
        <v>-3.7682403631891077</v>
      </c>
      <c r="F45" s="12">
        <f>IF(Data!F47="","",(Data!F47-AVERAGE(Data!F$7:F$52))/_xlfn.STDEV.P(Data!F$7:F$52))</f>
        <v>1.4904176083086309</v>
      </c>
      <c r="G45" s="12">
        <f>IF(Data!G47="","",(Data!G47-AVERAGE(Data!G$7:G$52))/_xlfn.STDEV.P(Data!G$7:G$52))</f>
        <v>-1.8277658705235071</v>
      </c>
    </row>
    <row r="46" spans="1:7" x14ac:dyDescent="0.35">
      <c r="A46" s="7">
        <v>2021</v>
      </c>
      <c r="B46" s="12">
        <f>IF(Data!B48="","",(Data!B48-AVERAGE(Data!B$7:B$52))/_xlfn.STDEV.P(Data!B$7:B$52))</f>
        <v>-1.0087649077570364</v>
      </c>
      <c r="C46" s="12">
        <f>IF(Data!C48="","",(Data!C48-AVERAGE(Data!C$7:C$52))/_xlfn.STDEV.P(Data!C$7:C$52))</f>
        <v>-1.0705948296618137</v>
      </c>
      <c r="D46" s="12">
        <f>IF(Data!D48="","",(Data!D48-AVERAGE(Data!D$7:D$52))/_xlfn.STDEV.P(Data!D$7:D$52))</f>
        <v>0.93023310353141186</v>
      </c>
      <c r="E46" s="12">
        <f>IF(Data!E48="","",(Data!E48-AVERAGE(Data!E$7:E$52))/_xlfn.STDEV.P(Data!E$7:E$52))</f>
        <v>2.6566679860778044</v>
      </c>
      <c r="F46" s="12">
        <f>IF(Data!F48="","",(Data!F48-AVERAGE(Data!F$7:F$52))/_xlfn.STDEV.P(Data!F$7:F$52))</f>
        <v>0.97702622027909936</v>
      </c>
      <c r="G46" s="12">
        <f>IF(Data!G48="","",(Data!G48-AVERAGE(Data!G$7:G$52))/_xlfn.STDEV.P(Data!G$7:G$52))</f>
        <v>-1.483788480195714</v>
      </c>
    </row>
    <row r="47" spans="1:7" x14ac:dyDescent="0.35">
      <c r="A47" s="7">
        <v>2022</v>
      </c>
      <c r="B47" s="12">
        <f>IF(Data!B49="","",(Data!B49-AVERAGE(Data!B$7:B$52))/_xlfn.STDEV.P(Data!B$7:B$52))</f>
        <v>-0.29624153138229004</v>
      </c>
      <c r="C47" s="12">
        <f>IF(Data!C49="","",(Data!C49-AVERAGE(Data!C$7:C$52))/_xlfn.STDEV.P(Data!C$7:C$52))</f>
        <v>-0.5642720159125173</v>
      </c>
      <c r="D47" s="12">
        <f>IF(Data!D49="","",(Data!D49-AVERAGE(Data!D$7:D$52))/_xlfn.STDEV.P(Data!D$7:D$52))</f>
        <v>-0.17532802389544386</v>
      </c>
      <c r="E47" s="12">
        <f>IF(Data!E49="","",(Data!E49-AVERAGE(Data!E$7:E$52))/_xlfn.STDEV.P(Data!E$7:E$52))</f>
        <v>1.4161576665010205</v>
      </c>
      <c r="F47" s="12">
        <f>IF(Data!F49="","",(Data!F49-AVERAGE(Data!F$7:F$52))/_xlfn.STDEV.P(Data!F$7:F$52))</f>
        <v>0.4907067636780697</v>
      </c>
      <c r="G47" s="12">
        <f>IF(Data!G49="","",(Data!G49-AVERAGE(Data!G$7:G$52))/_xlfn.STDEV.P(Data!G$7:G$52))</f>
        <v>-0.54372544012814372</v>
      </c>
    </row>
    <row r="48" spans="1:7" x14ac:dyDescent="0.35">
      <c r="A48" s="7">
        <v>2023</v>
      </c>
      <c r="B48" s="12">
        <f>IF(Data!B50="","",(Data!B50-AVERAGE(Data!B$7:B$52))/_xlfn.STDEV.P(Data!B$7:B$52))</f>
        <v>-0.1300394712416453</v>
      </c>
      <c r="C48" s="12">
        <f>IF(Data!C50="","",(Data!C50-AVERAGE(Data!C$7:C$52))/_xlfn.STDEV.P(Data!C$7:C$52))</f>
        <v>-0.15550422030221112</v>
      </c>
      <c r="D48" s="12">
        <f>IF(Data!D50="","",(Data!D50-AVERAGE(Data!D$7:D$52))/_xlfn.STDEV.P(Data!D$7:D$52))</f>
        <v>-0.48819161372431319</v>
      </c>
      <c r="E48" s="12">
        <f>IF(Data!E50="","",(Data!E50-AVERAGE(Data!E$7:E$52))/_xlfn.STDEV.P(Data!E$7:E$52))</f>
        <v>-0.90077324054271479</v>
      </c>
      <c r="F48" s="12">
        <f>IF(Data!F50="","",(Data!F50-AVERAGE(Data!F$7:F$52))/_xlfn.STDEV.P(Data!F$7:F$52))</f>
        <v>0.53623257479939301</v>
      </c>
      <c r="G48" s="12">
        <f>IF(Data!G50="","",(Data!G50-AVERAGE(Data!G$7:G$52))/_xlfn.STDEV.P(Data!G$7:G$52))</f>
        <v>0.75846193194540756</v>
      </c>
    </row>
    <row r="49" spans="1:7" x14ac:dyDescent="0.35">
      <c r="A49" s="7">
        <v>2024</v>
      </c>
      <c r="B49" s="12">
        <f>IF(Data!B51="","",(Data!B51-AVERAGE(Data!B$7:B$52))/_xlfn.STDEV.P(Data!B$7:B$52))</f>
        <v>-0.67671457857060013</v>
      </c>
      <c r="C49" s="12">
        <f>IF(Data!C51="","",(Data!C51-AVERAGE(Data!C$7:C$52))/_xlfn.STDEV.P(Data!C$7:C$52))</f>
        <v>-0.51990471479072753</v>
      </c>
      <c r="D49" s="12">
        <f>IF(Data!D51="","",(Data!D51-AVERAGE(Data!D$7:D$52))/_xlfn.STDEV.P(Data!D$7:D$52))</f>
        <v>-0.4789703710767253</v>
      </c>
      <c r="E49" s="12">
        <f>IF(Data!E51="","",(Data!E51-AVERAGE(Data!E$7:E$52))/_xlfn.STDEV.P(Data!E$7:E$52))</f>
        <v>-0.66806501633444948</v>
      </c>
      <c r="F49" s="12">
        <f>IF(Data!F51="","",(Data!F51-AVERAGE(Data!F$7:F$52))/_xlfn.STDEV.P(Data!F$7:F$52))</f>
        <v>0.53545845835278005</v>
      </c>
      <c r="G49" s="12">
        <f>IF(Data!G51="","",(Data!G51-AVERAGE(Data!G$7:G$52))/_xlfn.STDEV.P(Data!G$7:G$52))</f>
        <v>-0.27891199827516577</v>
      </c>
    </row>
    <row r="50" spans="1:7" x14ac:dyDescent="0.35">
      <c r="A50" s="7">
        <v>2025</v>
      </c>
      <c r="B50" s="12">
        <f>IF(Data!B52="","",(Data!B52-AVERAGE(Data!B$7:B$52))/_xlfn.STDEV.P(Data!B$7:B$52))</f>
        <v>-0.83312622047110585</v>
      </c>
      <c r="C50" s="12">
        <f>IF(Data!C52="","",(Data!C52-AVERAGE(Data!C$7:C$52))/_xlfn.STDEV.P(Data!C$7:C$52))</f>
        <v>-0.6813561110626104</v>
      </c>
      <c r="D50" s="12">
        <f>IF(Data!D52="","",(Data!D52-AVERAGE(Data!D$7:D$52))/_xlfn.STDEV.P(Data!D$7:D$52))</f>
        <v>-0.87120251369375967</v>
      </c>
      <c r="E50" s="12">
        <f>IF(Data!E52="","",(Data!E52-AVERAGE(Data!E$7:E$52))/_xlfn.STDEV.P(Data!E$7:E$52))</f>
        <v>-0.25775207759065011</v>
      </c>
      <c r="F50" s="12" t="str">
        <f>IF(Data!F52="","",(Data!F52-AVERAGE(Data!F$7:F$52))/_xlfn.STDEV.P(Data!F$7:F$52))</f>
        <v/>
      </c>
      <c r="G50" s="12" t="str">
        <f>IF(Data!G52="","",(Data!G52-AVERAGE(Data!G$7:G$52))/_xlfn.STDEV.P(Data!G$7:G$52))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2"/>
  <sheetViews>
    <sheetView showGridLines="0" workbookViewId="0"/>
  </sheetViews>
  <sheetFormatPr defaultRowHeight="14.5" x14ac:dyDescent="0.35"/>
  <cols>
    <col min="1" max="1" width="120" customWidth="1"/>
  </cols>
  <sheetData>
    <row r="1" spans="1:1" ht="18" x14ac:dyDescent="0.35">
      <c r="A1" s="13" t="s">
        <v>50</v>
      </c>
    </row>
    <row r="2" spans="1:1" x14ac:dyDescent="0.35">
      <c r="A2" s="14" t="s">
        <v>51</v>
      </c>
    </row>
    <row r="3" spans="1:1" x14ac:dyDescent="0.35">
      <c r="A3" s="15" t="s">
        <v>52</v>
      </c>
    </row>
    <row r="4" spans="1:1" x14ac:dyDescent="0.35">
      <c r="A4" s="15" t="s">
        <v>53</v>
      </c>
    </row>
    <row r="5" spans="1:1" x14ac:dyDescent="0.35">
      <c r="A5" s="15" t="s">
        <v>54</v>
      </c>
    </row>
    <row r="6" spans="1:1" x14ac:dyDescent="0.35">
      <c r="A6" s="15" t="s">
        <v>55</v>
      </c>
    </row>
    <row r="7" spans="1:1" x14ac:dyDescent="0.35">
      <c r="A7" s="15" t="s">
        <v>56</v>
      </c>
    </row>
    <row r="8" spans="1:1" x14ac:dyDescent="0.35">
      <c r="A8" s="15" t="s">
        <v>57</v>
      </c>
    </row>
    <row r="9" spans="1:1" x14ac:dyDescent="0.35">
      <c r="A9" s="15" t="s">
        <v>58</v>
      </c>
    </row>
    <row r="10" spans="1:1" x14ac:dyDescent="0.35">
      <c r="A10" s="15" t="s">
        <v>59</v>
      </c>
    </row>
    <row r="11" spans="1:1" x14ac:dyDescent="0.35">
      <c r="A11" s="15" t="s">
        <v>60</v>
      </c>
    </row>
    <row r="12" spans="1:1" x14ac:dyDescent="0.35">
      <c r="A12" s="15" t="s">
        <v>61</v>
      </c>
    </row>
    <row r="13" spans="1:1" x14ac:dyDescent="0.35">
      <c r="A13" s="15"/>
    </row>
    <row r="14" spans="1:1" x14ac:dyDescent="0.35">
      <c r="A14" s="14" t="s">
        <v>62</v>
      </c>
    </row>
    <row r="15" spans="1:1" x14ac:dyDescent="0.35">
      <c r="A15" s="15" t="s">
        <v>63</v>
      </c>
    </row>
    <row r="16" spans="1:1" ht="25" x14ac:dyDescent="0.35">
      <c r="A16" s="15" t="s">
        <v>64</v>
      </c>
    </row>
    <row r="17" spans="1:1" x14ac:dyDescent="0.35">
      <c r="A17" s="15" t="s">
        <v>65</v>
      </c>
    </row>
    <row r="18" spans="1:1" x14ac:dyDescent="0.35">
      <c r="A18" s="15" t="s">
        <v>66</v>
      </c>
    </row>
    <row r="19" spans="1:1" x14ac:dyDescent="0.35">
      <c r="A19" s="15"/>
    </row>
    <row r="20" spans="1:1" x14ac:dyDescent="0.35">
      <c r="A20" s="14" t="s">
        <v>67</v>
      </c>
    </row>
    <row r="21" spans="1:1" x14ac:dyDescent="0.35">
      <c r="A21" s="15" t="s">
        <v>68</v>
      </c>
    </row>
    <row r="22" spans="1:1" x14ac:dyDescent="0.35">
      <c r="A22" s="15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Decades</vt:lpstr>
      <vt:lpstr>Index 1980=100</vt:lpstr>
      <vt:lpstr>Normalized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ramirez</cp:lastModifiedBy>
  <dcterms:created xsi:type="dcterms:W3CDTF">2026-10-14T02:53:19Z</dcterms:created>
  <dcterms:modified xsi:type="dcterms:W3CDTF">2026-10-14T02:53:48Z</dcterms:modified>
</cp:coreProperties>
</file>