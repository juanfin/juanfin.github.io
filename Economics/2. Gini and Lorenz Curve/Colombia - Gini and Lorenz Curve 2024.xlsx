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Economics\2. Gini and Lorenz Curve\"/>
    </mc:Choice>
  </mc:AlternateContent>
  <xr:revisionPtr revIDLastSave="0" documentId="13_ncr:1_{F6499D20-08A3-421E-A754-8CEE93DEC8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renz 2024" sheetId="1" r:id="rId1"/>
    <sheet name="Deciles by year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O17" i="2"/>
  <c r="M17" i="2"/>
  <c r="P16" i="2"/>
  <c r="O16" i="2"/>
  <c r="M16" i="2"/>
  <c r="P15" i="2"/>
  <c r="O15" i="2"/>
  <c r="M15" i="2"/>
  <c r="P14" i="2"/>
  <c r="O14" i="2"/>
  <c r="M14" i="2"/>
  <c r="P13" i="2"/>
  <c r="O13" i="2"/>
  <c r="M13" i="2"/>
  <c r="P12" i="2"/>
  <c r="O12" i="2"/>
  <c r="M12" i="2"/>
  <c r="P11" i="2"/>
  <c r="O11" i="2"/>
  <c r="M11" i="2"/>
  <c r="P10" i="2"/>
  <c r="O10" i="2"/>
  <c r="M10" i="2"/>
  <c r="P9" i="2"/>
  <c r="O9" i="2"/>
  <c r="M9" i="2"/>
  <c r="P8" i="2"/>
  <c r="O8" i="2"/>
  <c r="M8" i="2"/>
  <c r="P7" i="2"/>
  <c r="O7" i="2"/>
  <c r="M7" i="2"/>
  <c r="P6" i="2"/>
  <c r="O6" i="2"/>
  <c r="M6" i="2"/>
  <c r="P5" i="2"/>
  <c r="O5" i="2"/>
  <c r="M5" i="2"/>
  <c r="C24" i="1"/>
  <c r="C23" i="1"/>
  <c r="C22" i="1"/>
  <c r="C21" i="1"/>
  <c r="C20" i="1"/>
  <c r="C16" i="1"/>
  <c r="E15" i="1"/>
  <c r="E14" i="1"/>
  <c r="E13" i="1"/>
  <c r="E12" i="1"/>
  <c r="E11" i="1"/>
  <c r="E10" i="1"/>
  <c r="E9" i="1"/>
  <c r="E8" i="1"/>
  <c r="E7" i="1"/>
  <c r="E6" i="1"/>
  <c r="D6" i="1"/>
  <c r="D7" i="1" s="1"/>
  <c r="D8" i="1" l="1"/>
  <c r="F7" i="1"/>
  <c r="F6" i="1"/>
  <c r="D9" i="1" l="1"/>
  <c r="F9" i="1" s="1"/>
  <c r="F8" i="1"/>
  <c r="D10" i="1" l="1"/>
  <c r="D11" i="1" l="1"/>
  <c r="F10" i="1"/>
  <c r="D12" i="1" l="1"/>
  <c r="F12" i="1"/>
  <c r="F11" i="1"/>
  <c r="D13" i="1" l="1"/>
  <c r="D14" i="1" l="1"/>
  <c r="F13" i="1"/>
  <c r="D15" i="1" l="1"/>
  <c r="F15" i="1"/>
  <c r="F14" i="1"/>
  <c r="F16" i="1" l="1"/>
  <c r="C18" i="1" s="1"/>
</calcChain>
</file>

<file path=xl/sharedStrings.xml><?xml version="1.0" encoding="utf-8"?>
<sst xmlns="http://schemas.openxmlformats.org/spreadsheetml/2006/main" count="61" uniqueCount="61">
  <si>
    <t>Lorenz curve and Gini coefficient: Colombia, 2024</t>
  </si>
  <si>
    <t>Income per person, national total. Blue figures are source data (World Bank); black figures are formulas.</t>
  </si>
  <si>
    <t>Decile</t>
  </si>
  <si>
    <t>Cumulative population</t>
  </si>
  <si>
    <t>Income share</t>
  </si>
  <si>
    <t>Cumulative income (Lorenz curve)</t>
  </si>
  <si>
    <t>Line of equality</t>
  </si>
  <si>
    <t>Area under the curve</t>
  </si>
  <si>
    <t>Origin</t>
  </si>
  <si>
    <t>1 (poorest 10%)</t>
  </si>
  <si>
    <t>2</t>
  </si>
  <si>
    <t>3</t>
  </si>
  <si>
    <t>4</t>
  </si>
  <si>
    <t>5</t>
  </si>
  <si>
    <t>6</t>
  </si>
  <si>
    <t>7</t>
  </si>
  <si>
    <t>8</t>
  </si>
  <si>
    <t>9</t>
  </si>
  <si>
    <t>10 (richest 10%)</t>
  </si>
  <si>
    <t>Total</t>
  </si>
  <si>
    <t>Gini coefficient, calculated from the deciles</t>
  </si>
  <si>
    <t>Gini coefficient, reported by the World Bank</t>
  </si>
  <si>
    <t>Income share of the poorest 50%</t>
  </si>
  <si>
    <t>Income share of the richest 20%</t>
  </si>
  <si>
    <t>Income share of the richest 10%</t>
  </si>
  <si>
    <t>Richest 10% / poorest 10% (times)</t>
  </si>
  <si>
    <t>Palma ratio: richest 10% / poorest 40%</t>
  </si>
  <si>
    <t>Colombia: income share by decile and Gini coefficient, 2012 to 2025</t>
  </si>
  <si>
    <t>Deciles and reported Gini: World Bank. Official Gini: DANE, available from 2021. The Gini from deciles is a formula.</t>
  </si>
  <si>
    <t>Year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</si>
  <si>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</si>
  <si>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</si>
  <si>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</si>
  <si>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</si>
  <si>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</si>
  <si>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</si>
  <si>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</si>
  <si>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</si>
  <si>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</si>
  <si>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</si>
  <si>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Gini, World Bank</t>
  </si>
  <si>
    <t>Gini from deciles</t>
  </si>
  <si>
    <t>Gini, DANE</t>
  </si>
  <si>
    <t>Poorest 50%</t>
  </si>
  <si>
    <t>Richest 10%</t>
  </si>
  <si>
    <t>Notes</t>
  </si>
  <si>
    <t>Definitions</t>
  </si>
  <si>
    <t>Lorenz curve: the cumulative share of income received by the population ordered from the poorest to the richest.</t>
  </si>
  <si>
    <t>Line of equality: the Lorenz curve if every person received the same income.</t>
  </si>
  <si>
    <t>Gini coefficient: the area between the line of equality and the Lorenz curve, divided by the whole area under the line of equality. 0 is full equality and 1 is full inequality.</t>
  </si>
  <si>
    <t>The Gini is calculated here with the trapezoid rule on ten groups: Gini = 1 - 2 x area under the Lorenz curve.</t>
  </si>
  <si>
    <t>Points to keep in mind</t>
  </si>
  <si>
    <t>A Gini calculated from ten groups is lower than the one calculated from every household, because it ignores the inequality inside each decile. The reported figure is the precise one.</t>
  </si>
  <si>
    <t>The World Bank and DANE both use DANE's household survey (GEIH), but they build the income measure differently, so their Gini coefficients are not identical.</t>
  </si>
  <si>
    <t>The World Bank marks 2012 to 2024 as one comparable series for Colombia; earlier years are not included.</t>
  </si>
  <si>
    <t>Decile shares for 2025 were not available from the World Bank at the retrieval date.</t>
  </si>
  <si>
    <t>Sources</t>
  </si>
  <si>
    <t>World Bank, Poverty and Inequality Platform: decile shares and Gini index for Colombia, national, income.</t>
  </si>
  <si>
    <t>DANE, monetary poverty statistics: official Gini coefficient, national total, 2021 to 2025.</t>
  </si>
  <si>
    <t>Both retrieved through the Croma data connector.</t>
  </si>
  <si>
    <t>Retrieved on 2026-10-13.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</si>
</sst>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10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166" fontId="6" fillId="0" borderId="0" xfId="0" applyNumberFormat="1" applyFont="1" applyAlignment="1">
      <alignment horizontal="right" vertical="center" wrapText="1"/>
    </xf>
    <xf numFmtId="166" fontId="5" fillId="0" borderId="0" xfId="0" applyNumberFormat="1" applyFont="1" applyAlignment="1">
      <alignment horizontal="right" vertical="center" wrapText="1"/>
    </xf>
    <xf numFmtId="167" fontId="4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horizontal="left" vertical="center" wrapText="1"/>
    </xf>
    <xf numFmtId="166" fontId="4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Lorenz curve: Colombia, 2024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Lorenz curve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'Lorenz 2024'!$B$5:$B$15</c:f>
              <c:numCache>
                <c:formatCode>0.0%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'Lorenz 2024'!$D$5:$D$15</c:f>
              <c:numCache>
                <c:formatCode>0.00%</c:formatCode>
                <c:ptCount val="11"/>
                <c:pt idx="0">
                  <c:v>0</c:v>
                </c:pt>
                <c:pt idx="1">
                  <c:v>1.03E-2</c:v>
                </c:pt>
                <c:pt idx="2">
                  <c:v>3.1899999999999998E-2</c:v>
                </c:pt>
                <c:pt idx="3">
                  <c:v>6.2600000000000003E-2</c:v>
                </c:pt>
                <c:pt idx="4">
                  <c:v>0.1027</c:v>
                </c:pt>
                <c:pt idx="5">
                  <c:v>0.1535</c:v>
                </c:pt>
                <c:pt idx="6">
                  <c:v>0.21810000000000002</c:v>
                </c:pt>
                <c:pt idx="7">
                  <c:v>0.3009</c:v>
                </c:pt>
                <c:pt idx="8">
                  <c:v>0.4113</c:v>
                </c:pt>
                <c:pt idx="9">
                  <c:v>0.5726</c:v>
                </c:pt>
                <c:pt idx="10">
                  <c:v>1.0001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6A-4C6E-B8F4-206F7659D830}"/>
            </c:ext>
          </c:extLst>
        </c:ser>
        <c:ser>
          <c:idx val="1"/>
          <c:order val="1"/>
          <c:tx>
            <c:v>Line of equality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'Lorenz 2024'!$B$5:$B$15</c:f>
              <c:numCache>
                <c:formatCode>0.0%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'Lorenz 2024'!$E$5:$E$15</c:f>
              <c:numCache>
                <c:formatCode>0.0%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6A-4C6E-B8F4-206F7659D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share of population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share of income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6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/>
  </sheetViews>
  <sheetFormatPr defaultRowHeight="14.5" x14ac:dyDescent="0.35"/>
  <cols>
    <col min="1" max="1" width="46" customWidth="1"/>
    <col min="2" max="2" width="16" customWidth="1"/>
    <col min="3" max="3" width="14" customWidth="1"/>
    <col min="4" max="4" width="20" customWidth="1"/>
    <col min="5" max="6" width="14" customWidth="1"/>
  </cols>
  <sheetData>
    <row r="1" spans="1:6" ht="36" x14ac:dyDescent="0.35">
      <c r="A1" s="1" t="s">
        <v>0</v>
      </c>
    </row>
    <row r="2" spans="1:6" ht="24" x14ac:dyDescent="0.35">
      <c r="A2" s="2" t="s">
        <v>1</v>
      </c>
    </row>
    <row r="4" spans="1:6" ht="30" customHeight="1" x14ac:dyDescent="0.3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5">
      <c r="A5" s="5" t="s">
        <v>8</v>
      </c>
      <c r="B5" s="6">
        <v>0</v>
      </c>
      <c r="D5" s="7">
        <v>0</v>
      </c>
      <c r="E5" s="6">
        <v>0</v>
      </c>
    </row>
    <row r="6" spans="1:6" x14ac:dyDescent="0.35">
      <c r="A6" s="5" t="s">
        <v>9</v>
      </c>
      <c r="B6" s="6">
        <v>0.1</v>
      </c>
      <c r="C6" s="8">
        <v>1.03E-2</v>
      </c>
      <c r="D6" s="7">
        <f t="shared" ref="D6:D15" si="0">D5+C6</f>
        <v>1.03E-2</v>
      </c>
      <c r="E6" s="6">
        <f t="shared" ref="E6:E15" si="1">B6</f>
        <v>0.1</v>
      </c>
      <c r="F6" s="9">
        <f t="shared" ref="F6:F15" si="2">(D5+D6)/2*(B6-B5)</f>
        <v>5.1500000000000005E-4</v>
      </c>
    </row>
    <row r="7" spans="1:6" x14ac:dyDescent="0.35">
      <c r="A7" s="5" t="s">
        <v>10</v>
      </c>
      <c r="B7" s="6">
        <v>0.2</v>
      </c>
      <c r="C7" s="8">
        <v>2.1600000000000001E-2</v>
      </c>
      <c r="D7" s="7">
        <f t="shared" si="0"/>
        <v>3.1899999999999998E-2</v>
      </c>
      <c r="E7" s="6">
        <f t="shared" si="1"/>
        <v>0.2</v>
      </c>
      <c r="F7" s="9">
        <f t="shared" si="2"/>
        <v>2.1100000000000003E-3</v>
      </c>
    </row>
    <row r="8" spans="1:6" x14ac:dyDescent="0.35">
      <c r="A8" s="5" t="s">
        <v>11</v>
      </c>
      <c r="B8" s="6">
        <v>0.3</v>
      </c>
      <c r="C8" s="8">
        <v>3.0700000000000002E-2</v>
      </c>
      <c r="D8" s="7">
        <f t="shared" si="0"/>
        <v>6.2600000000000003E-2</v>
      </c>
      <c r="E8" s="6">
        <f t="shared" si="1"/>
        <v>0.3</v>
      </c>
      <c r="F8" s="9">
        <f t="shared" si="2"/>
        <v>4.7249999999999992E-3</v>
      </c>
    </row>
    <row r="9" spans="1:6" x14ac:dyDescent="0.35">
      <c r="A9" s="5" t="s">
        <v>12</v>
      </c>
      <c r="B9" s="6">
        <v>0.4</v>
      </c>
      <c r="C9" s="8">
        <v>4.0099999999999997E-2</v>
      </c>
      <c r="D9" s="7">
        <f t="shared" si="0"/>
        <v>0.1027</v>
      </c>
      <c r="E9" s="6">
        <f t="shared" si="1"/>
        <v>0.4</v>
      </c>
      <c r="F9" s="9">
        <f t="shared" si="2"/>
        <v>8.2650000000000032E-3</v>
      </c>
    </row>
    <row r="10" spans="1:6" x14ac:dyDescent="0.35">
      <c r="A10" s="5" t="s">
        <v>13</v>
      </c>
      <c r="B10" s="6">
        <v>0.5</v>
      </c>
      <c r="C10" s="8">
        <v>5.0799999999999998E-2</v>
      </c>
      <c r="D10" s="7">
        <f t="shared" si="0"/>
        <v>0.1535</v>
      </c>
      <c r="E10" s="6">
        <f t="shared" si="1"/>
        <v>0.5</v>
      </c>
      <c r="F10" s="9">
        <f t="shared" si="2"/>
        <v>1.2809999999999997E-2</v>
      </c>
    </row>
    <row r="11" spans="1:6" x14ac:dyDescent="0.35">
      <c r="A11" s="5" t="s">
        <v>14</v>
      </c>
      <c r="B11" s="6">
        <v>0.6</v>
      </c>
      <c r="C11" s="8">
        <v>6.4600000000000005E-2</v>
      </c>
      <c r="D11" s="7">
        <f t="shared" si="0"/>
        <v>0.21810000000000002</v>
      </c>
      <c r="E11" s="6">
        <f t="shared" si="1"/>
        <v>0.6</v>
      </c>
      <c r="F11" s="9">
        <f t="shared" si="2"/>
        <v>1.8579999999999999E-2</v>
      </c>
    </row>
    <row r="12" spans="1:6" x14ac:dyDescent="0.35">
      <c r="A12" s="5" t="s">
        <v>15</v>
      </c>
      <c r="B12" s="6">
        <v>0.7</v>
      </c>
      <c r="C12" s="8">
        <v>8.2799999999999999E-2</v>
      </c>
      <c r="D12" s="7">
        <f t="shared" si="0"/>
        <v>0.3009</v>
      </c>
      <c r="E12" s="6">
        <f t="shared" si="1"/>
        <v>0.7</v>
      </c>
      <c r="F12" s="9">
        <f t="shared" si="2"/>
        <v>2.5949999999999994E-2</v>
      </c>
    </row>
    <row r="13" spans="1:6" x14ac:dyDescent="0.35">
      <c r="A13" s="5" t="s">
        <v>16</v>
      </c>
      <c r="B13" s="6">
        <v>0.8</v>
      </c>
      <c r="C13" s="8">
        <v>0.1104</v>
      </c>
      <c r="D13" s="7">
        <f t="shared" si="0"/>
        <v>0.4113</v>
      </c>
      <c r="E13" s="6">
        <f t="shared" si="1"/>
        <v>0.8</v>
      </c>
      <c r="F13" s="9">
        <f t="shared" si="2"/>
        <v>3.5610000000000031E-2</v>
      </c>
    </row>
    <row r="14" spans="1:6" x14ac:dyDescent="0.35">
      <c r="A14" s="5" t="s">
        <v>17</v>
      </c>
      <c r="B14" s="6">
        <v>0.9</v>
      </c>
      <c r="C14" s="8">
        <v>0.1613</v>
      </c>
      <c r="D14" s="7">
        <f t="shared" si="0"/>
        <v>0.5726</v>
      </c>
      <c r="E14" s="6">
        <f t="shared" si="1"/>
        <v>0.9</v>
      </c>
      <c r="F14" s="9">
        <f t="shared" si="2"/>
        <v>4.9194999999999989E-2</v>
      </c>
    </row>
    <row r="15" spans="1:6" x14ac:dyDescent="0.35">
      <c r="A15" s="5" t="s">
        <v>18</v>
      </c>
      <c r="B15" s="6">
        <v>1</v>
      </c>
      <c r="C15" s="8">
        <v>0.42749999999999999</v>
      </c>
      <c r="D15" s="7">
        <f t="shared" si="0"/>
        <v>1.0001</v>
      </c>
      <c r="E15" s="6">
        <f t="shared" si="1"/>
        <v>1</v>
      </c>
      <c r="F15" s="9">
        <f t="shared" si="2"/>
        <v>7.8634999999999983E-2</v>
      </c>
    </row>
    <row r="16" spans="1:6" x14ac:dyDescent="0.35">
      <c r="A16" s="10" t="s">
        <v>19</v>
      </c>
      <c r="B16" s="11"/>
      <c r="C16" s="12">
        <f>SUM(C6:C15)</f>
        <v>1.0001</v>
      </c>
      <c r="D16" s="11"/>
      <c r="E16" s="11"/>
      <c r="F16" s="13">
        <f>SUM(F6:F15)</f>
        <v>0.23639499999999999</v>
      </c>
    </row>
    <row r="18" spans="1:3" x14ac:dyDescent="0.35">
      <c r="A18" s="14" t="s">
        <v>20</v>
      </c>
      <c r="C18" s="15">
        <f>1-2*F16</f>
        <v>0.52720999999999996</v>
      </c>
    </row>
    <row r="19" spans="1:3" x14ac:dyDescent="0.35">
      <c r="A19" s="5" t="s">
        <v>21</v>
      </c>
      <c r="C19" s="16">
        <v>0.54379999999999995</v>
      </c>
    </row>
    <row r="20" spans="1:3" x14ac:dyDescent="0.35">
      <c r="A20" s="5" t="s">
        <v>22</v>
      </c>
      <c r="C20" s="6">
        <f>SUM(C6:C10)</f>
        <v>0.1535</v>
      </c>
    </row>
    <row r="21" spans="1:3" x14ac:dyDescent="0.35">
      <c r="A21" s="5" t="s">
        <v>23</v>
      </c>
      <c r="C21" s="6">
        <f>C14+C15</f>
        <v>0.58879999999999999</v>
      </c>
    </row>
    <row r="22" spans="1:3" x14ac:dyDescent="0.35">
      <c r="A22" s="5" t="s">
        <v>24</v>
      </c>
      <c r="C22" s="6">
        <f>C15</f>
        <v>0.42749999999999999</v>
      </c>
    </row>
    <row r="23" spans="1:3" x14ac:dyDescent="0.35">
      <c r="A23" s="5" t="s">
        <v>25</v>
      </c>
      <c r="C23" s="17">
        <f>C15/C6</f>
        <v>41.504854368932037</v>
      </c>
    </row>
    <row r="24" spans="1:3" x14ac:dyDescent="0.35">
      <c r="A24" s="5" t="s">
        <v>26</v>
      </c>
      <c r="C24" s="18">
        <f>C15/SUM(C6:C9)</f>
        <v>4.1626095423563774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11" width="11" customWidth="1"/>
    <col min="12" max="16" width="15" customWidth="1"/>
  </cols>
  <sheetData>
    <row r="1" spans="1:16" ht="252" x14ac:dyDescent="0.35">
      <c r="A1" s="1" t="s">
        <v>27</v>
      </c>
    </row>
    <row r="2" spans="1:16" ht="204" x14ac:dyDescent="0.35">
      <c r="A2" s="2" t="s">
        <v>28</v>
      </c>
    </row>
    <row r="4" spans="1:16" ht="30" customHeight="1" x14ac:dyDescent="0.35">
      <c r="A4" s="3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</row>
    <row r="5" spans="1:16" x14ac:dyDescent="0.35">
      <c r="A5" s="19">
        <v>2012</v>
      </c>
      <c r="B5" s="8">
        <v>1.03E-2</v>
      </c>
      <c r="C5" s="8">
        <v>2.1600000000000001E-2</v>
      </c>
      <c r="D5" s="8">
        <v>3.09E-2</v>
      </c>
      <c r="E5" s="8">
        <v>4.1099999999999998E-2</v>
      </c>
      <c r="F5" s="8">
        <v>5.2499999999999998E-2</v>
      </c>
      <c r="G5" s="8">
        <v>6.6799999999999998E-2</v>
      </c>
      <c r="H5" s="8">
        <v>8.5699999999999998E-2</v>
      </c>
      <c r="I5" s="8">
        <v>0.1135</v>
      </c>
      <c r="J5" s="8">
        <v>0.16189999999999999</v>
      </c>
      <c r="K5" s="8">
        <v>0.41589999999999999</v>
      </c>
      <c r="L5" s="16">
        <v>0.53569999999999995</v>
      </c>
      <c r="M5" s="20">
        <f>1-0.1*(B5+(2*SUM($B5:B5)+C5)+(2*SUM($B5:C5)+D5)+(2*SUM($B5:D5)+E5)+(2*SUM($B5:E5)+F5)+(2*SUM($B5:F5)+G5)+(2*SUM($B5:G5)+H5)+(2*SUM($B5:H5)+I5)+(2*SUM($B5:I5)+J5)+(2*SUM($B5:J5)+K5))</f>
        <v>0.51916000000000007</v>
      </c>
      <c r="O5" s="6">
        <f t="shared" ref="O5:O17" si="0">SUM(B5:F5)</f>
        <v>0.15639999999999998</v>
      </c>
      <c r="P5" s="6">
        <f t="shared" ref="P5:P17" si="1">K5</f>
        <v>0.41589999999999999</v>
      </c>
    </row>
    <row r="6" spans="1:16" x14ac:dyDescent="0.35">
      <c r="A6" s="19">
        <v>2013</v>
      </c>
      <c r="B6" s="8">
        <v>1.03E-2</v>
      </c>
      <c r="C6" s="8">
        <v>2.18E-2</v>
      </c>
      <c r="D6" s="8">
        <v>3.1099999999999999E-2</v>
      </c>
      <c r="E6" s="8">
        <v>4.1000000000000002E-2</v>
      </c>
      <c r="F6" s="8">
        <v>5.2699999999999997E-2</v>
      </c>
      <c r="G6" s="8">
        <v>6.6900000000000001E-2</v>
      </c>
      <c r="H6" s="8">
        <v>8.5400000000000004E-2</v>
      </c>
      <c r="I6" s="8">
        <v>0.11260000000000001</v>
      </c>
      <c r="J6" s="8">
        <v>0.16200000000000001</v>
      </c>
      <c r="K6" s="8">
        <v>0.41620000000000001</v>
      </c>
      <c r="L6" s="16">
        <v>0.5353</v>
      </c>
      <c r="M6" s="20">
        <f>1-0.1*(B6+(2*SUM($B6:B6)+C6)+(2*SUM($B6:C6)+D6)+(2*SUM($B6:D6)+E6)+(2*SUM($B6:E6)+F6)+(2*SUM($B6:F6)+G6)+(2*SUM($B6:G6)+H6)+(2*SUM($B6:H6)+I6)+(2*SUM($B6:I6)+J6)+(2*SUM($B6:J6)+K6))</f>
        <v>0.51893999999999996</v>
      </c>
      <c r="O6" s="6">
        <f t="shared" si="0"/>
        <v>0.15690000000000001</v>
      </c>
      <c r="P6" s="6">
        <f t="shared" si="1"/>
        <v>0.41620000000000001</v>
      </c>
    </row>
    <row r="7" spans="1:16" x14ac:dyDescent="0.35">
      <c r="A7" s="19">
        <v>2014</v>
      </c>
      <c r="B7" s="8">
        <v>1.04E-2</v>
      </c>
      <c r="C7" s="8">
        <v>2.1700000000000001E-2</v>
      </c>
      <c r="D7" s="8">
        <v>3.1099999999999999E-2</v>
      </c>
      <c r="E7" s="8">
        <v>4.1300000000000003E-2</v>
      </c>
      <c r="F7" s="8">
        <v>5.28E-2</v>
      </c>
      <c r="G7" s="8">
        <v>6.6799999999999998E-2</v>
      </c>
      <c r="H7" s="8">
        <v>8.5099999999999995E-2</v>
      </c>
      <c r="I7" s="8">
        <v>0.1124</v>
      </c>
      <c r="J7" s="8">
        <v>0.16109999999999999</v>
      </c>
      <c r="K7" s="8">
        <v>0.4173</v>
      </c>
      <c r="L7" s="16">
        <v>0.53549999999999998</v>
      </c>
      <c r="M7" s="20">
        <f>1-0.1*(B7+(2*SUM($B7:B7)+C7)+(2*SUM($B7:C7)+D7)+(2*SUM($B7:D7)+E7)+(2*SUM($B7:E7)+F7)+(2*SUM($B7:F7)+G7)+(2*SUM($B7:G7)+H7)+(2*SUM($B7:H7)+I7)+(2*SUM($B7:I7)+J7)+(2*SUM($B7:J7)+K7))</f>
        <v>0.51898</v>
      </c>
      <c r="O7" s="6">
        <f t="shared" si="0"/>
        <v>0.1573</v>
      </c>
      <c r="P7" s="6">
        <f t="shared" si="1"/>
        <v>0.4173</v>
      </c>
    </row>
    <row r="8" spans="1:16" x14ac:dyDescent="0.35">
      <c r="A8" s="19">
        <v>2015</v>
      </c>
      <c r="B8" s="8">
        <v>1.0999999999999999E-2</v>
      </c>
      <c r="C8" s="8">
        <v>2.3199999999999998E-2</v>
      </c>
      <c r="D8" s="8">
        <v>3.2599999999999997E-2</v>
      </c>
      <c r="E8" s="8">
        <v>4.3200000000000002E-2</v>
      </c>
      <c r="F8" s="8">
        <v>5.4800000000000001E-2</v>
      </c>
      <c r="G8" s="8">
        <v>6.9400000000000003E-2</v>
      </c>
      <c r="H8" s="8">
        <v>8.77E-2</v>
      </c>
      <c r="I8" s="8">
        <v>0.11459999999999999</v>
      </c>
      <c r="J8" s="8">
        <v>0.16070000000000001</v>
      </c>
      <c r="K8" s="8">
        <v>0.4027</v>
      </c>
      <c r="L8" s="16">
        <v>0.5202</v>
      </c>
      <c r="M8" s="20">
        <f>1-0.1*(B8+(2*SUM($B8:B8)+C8)+(2*SUM($B8:C8)+D8)+(2*SUM($B8:D8)+E8)+(2*SUM($B8:E8)+F8)+(2*SUM($B8:F8)+G8)+(2*SUM($B8:G8)+H8)+(2*SUM($B8:H8)+I8)+(2*SUM($B8:I8)+J8)+(2*SUM($B8:J8)+K8))</f>
        <v>0.50468999999999997</v>
      </c>
      <c r="O8" s="6">
        <f t="shared" si="0"/>
        <v>0.1648</v>
      </c>
      <c r="P8" s="6">
        <f t="shared" si="1"/>
        <v>0.4027</v>
      </c>
    </row>
    <row r="9" spans="1:16" x14ac:dyDescent="0.35">
      <c r="A9" s="19">
        <v>2016</v>
      </c>
      <c r="B9" s="8">
        <v>1.12E-2</v>
      </c>
      <c r="C9" s="8">
        <v>2.3599999999999999E-2</v>
      </c>
      <c r="D9" s="8">
        <v>3.3300000000000003E-2</v>
      </c>
      <c r="E9" s="8">
        <v>4.3700000000000003E-2</v>
      </c>
      <c r="F9" s="8">
        <v>5.5399999999999998E-2</v>
      </c>
      <c r="G9" s="8">
        <v>6.9800000000000001E-2</v>
      </c>
      <c r="H9" s="8">
        <v>8.77E-2</v>
      </c>
      <c r="I9" s="8">
        <v>0.114</v>
      </c>
      <c r="J9" s="8">
        <v>0.15970000000000001</v>
      </c>
      <c r="K9" s="8">
        <v>0.40150000000000002</v>
      </c>
      <c r="L9" s="16">
        <v>0.51719999999999999</v>
      </c>
      <c r="M9" s="20">
        <f>1-0.1*(B9+(2*SUM($B9:B9)+C9)+(2*SUM($B9:C9)+D9)+(2*SUM($B9:D9)+E9)+(2*SUM($B9:E9)+F9)+(2*SUM($B9:F9)+G9)+(2*SUM($B9:G9)+H9)+(2*SUM($B9:H9)+I9)+(2*SUM($B9:I9)+J9)+(2*SUM($B9:J9)+K9))</f>
        <v>0.50163000000000002</v>
      </c>
      <c r="O9" s="6">
        <f t="shared" si="0"/>
        <v>0.16719999999999999</v>
      </c>
      <c r="P9" s="6">
        <f t="shared" si="1"/>
        <v>0.40150000000000002</v>
      </c>
    </row>
    <row r="10" spans="1:16" x14ac:dyDescent="0.35">
      <c r="A10" s="19">
        <v>2017</v>
      </c>
      <c r="B10" s="8">
        <v>1.18E-2</v>
      </c>
      <c r="C10" s="8">
        <v>2.4299999999999999E-2</v>
      </c>
      <c r="D10" s="8">
        <v>3.4200000000000001E-2</v>
      </c>
      <c r="E10" s="8">
        <v>4.4699999999999997E-2</v>
      </c>
      <c r="F10" s="8">
        <v>5.6399999999999999E-2</v>
      </c>
      <c r="G10" s="8">
        <v>7.0599999999999996E-2</v>
      </c>
      <c r="H10" s="8">
        <v>8.8499999999999995E-2</v>
      </c>
      <c r="I10" s="8">
        <v>0.1149</v>
      </c>
      <c r="J10" s="8">
        <v>0.16059999999999999</v>
      </c>
      <c r="K10" s="8">
        <v>0.39389999999999997</v>
      </c>
      <c r="L10" s="16">
        <v>0.50919999999999999</v>
      </c>
      <c r="M10" s="20">
        <f>1-0.1*(B10+(2*SUM($B10:B10)+C10)+(2*SUM($B10:C10)+D10)+(2*SUM($B10:D10)+E10)+(2*SUM($B10:E10)+F10)+(2*SUM($B10:F10)+G10)+(2*SUM($B10:G10)+H10)+(2*SUM($B10:H10)+I10)+(2*SUM($B10:I10)+J10)+(2*SUM($B10:J10)+K10))</f>
        <v>0.49431000000000003</v>
      </c>
      <c r="O10" s="6">
        <f t="shared" si="0"/>
        <v>0.1714</v>
      </c>
      <c r="P10" s="6">
        <f t="shared" si="1"/>
        <v>0.39389999999999997</v>
      </c>
    </row>
    <row r="11" spans="1:16" x14ac:dyDescent="0.35">
      <c r="A11" s="19">
        <v>2018</v>
      </c>
      <c r="B11" s="8">
        <v>1.12E-2</v>
      </c>
      <c r="C11" s="8">
        <v>2.3599999999999999E-2</v>
      </c>
      <c r="D11" s="8">
        <v>3.3500000000000002E-2</v>
      </c>
      <c r="E11" s="8">
        <v>4.3799999999999999E-2</v>
      </c>
      <c r="F11" s="8">
        <v>5.5500000000000001E-2</v>
      </c>
      <c r="G11" s="8">
        <v>6.9900000000000004E-2</v>
      </c>
      <c r="H11" s="8">
        <v>8.7800000000000003E-2</v>
      </c>
      <c r="I11" s="8">
        <v>0.1139</v>
      </c>
      <c r="J11" s="8">
        <v>0.16039999999999999</v>
      </c>
      <c r="K11" s="8">
        <v>0.40039999999999998</v>
      </c>
      <c r="L11" s="16">
        <v>0.51639999999999997</v>
      </c>
      <c r="M11" s="20">
        <f>1-0.1*(B11+(2*SUM($B11:B11)+C11)+(2*SUM($B11:C11)+D11)+(2*SUM($B11:D11)+E11)+(2*SUM($B11:E11)+F11)+(2*SUM($B11:F11)+G11)+(2*SUM($B11:G11)+H11)+(2*SUM($B11:H11)+I11)+(2*SUM($B11:I11)+J11)+(2*SUM($B11:J11)+K11))</f>
        <v>0.50087999999999999</v>
      </c>
      <c r="O11" s="6">
        <f t="shared" si="0"/>
        <v>0.1676</v>
      </c>
      <c r="P11" s="6">
        <f t="shared" si="1"/>
        <v>0.40039999999999998</v>
      </c>
    </row>
    <row r="12" spans="1:16" x14ac:dyDescent="0.35">
      <c r="A12" s="19">
        <v>2019</v>
      </c>
      <c r="B12" s="8">
        <v>1.0200000000000001E-2</v>
      </c>
      <c r="C12" s="8">
        <v>2.2100000000000002E-2</v>
      </c>
      <c r="D12" s="8">
        <v>3.2300000000000002E-2</v>
      </c>
      <c r="E12" s="8">
        <v>4.2799999999999998E-2</v>
      </c>
      <c r="F12" s="8">
        <v>5.4800000000000001E-2</v>
      </c>
      <c r="G12" s="8">
        <v>6.9099999999999995E-2</v>
      </c>
      <c r="H12" s="8">
        <v>8.72E-2</v>
      </c>
      <c r="I12" s="8">
        <v>0.114</v>
      </c>
      <c r="J12" s="8">
        <v>0.16109999999999999</v>
      </c>
      <c r="K12" s="8">
        <v>0.40639999999999998</v>
      </c>
      <c r="L12" s="16">
        <v>0.52500000000000002</v>
      </c>
      <c r="M12" s="20">
        <f>1-0.1*(B12+(2*SUM($B12:B12)+C12)+(2*SUM($B12:C12)+D12)+(2*SUM($B12:D12)+E12)+(2*SUM($B12:E12)+F12)+(2*SUM($B12:F12)+G12)+(2*SUM($B12:G12)+H12)+(2*SUM($B12:H12)+I12)+(2*SUM($B12:I12)+J12)+(2*SUM($B12:J12)+K12))</f>
        <v>0.50947999999999993</v>
      </c>
      <c r="O12" s="6">
        <f t="shared" si="0"/>
        <v>0.16220000000000001</v>
      </c>
      <c r="P12" s="6">
        <f t="shared" si="1"/>
        <v>0.40639999999999998</v>
      </c>
    </row>
    <row r="13" spans="1:16" x14ac:dyDescent="0.35">
      <c r="A13" s="19">
        <v>2020</v>
      </c>
      <c r="B13" s="8">
        <v>7.4999999999999997E-3</v>
      </c>
      <c r="C13" s="8">
        <v>1.9900000000000001E-2</v>
      </c>
      <c r="D13" s="8">
        <v>3.0300000000000001E-2</v>
      </c>
      <c r="E13" s="8">
        <v>4.0800000000000003E-2</v>
      </c>
      <c r="F13" s="8">
        <v>5.28E-2</v>
      </c>
      <c r="G13" s="8">
        <v>6.7100000000000007E-2</v>
      </c>
      <c r="H13" s="8">
        <v>8.5400000000000004E-2</v>
      </c>
      <c r="I13" s="8">
        <v>0.11310000000000001</v>
      </c>
      <c r="J13" s="8">
        <v>0.16300000000000001</v>
      </c>
      <c r="K13" s="8">
        <v>0.42</v>
      </c>
      <c r="L13" s="16">
        <v>0.54430000000000001</v>
      </c>
      <c r="M13" s="20">
        <f>1-0.1*(B13+(2*SUM($B13:B13)+C13)+(2*SUM($B13:C13)+D13)+(2*SUM($B13:D13)+E13)+(2*SUM($B13:E13)+F13)+(2*SUM($B13:F13)+G13)+(2*SUM($B13:G13)+H13)+(2*SUM($B13:H13)+I13)+(2*SUM($B13:I13)+J13)+(2*SUM($B13:J13)+K13))</f>
        <v>0.52773000000000003</v>
      </c>
      <c r="O13" s="6">
        <f t="shared" si="0"/>
        <v>0.15129999999999999</v>
      </c>
      <c r="P13" s="6">
        <f t="shared" si="1"/>
        <v>0.42</v>
      </c>
    </row>
    <row r="14" spans="1:16" x14ac:dyDescent="0.35">
      <c r="A14" s="19">
        <v>2021</v>
      </c>
      <c r="B14" s="8">
        <v>9.9000000000000008E-3</v>
      </c>
      <c r="C14" s="8">
        <v>2.1399999999999999E-2</v>
      </c>
      <c r="D14" s="8">
        <v>3.0499999999999999E-2</v>
      </c>
      <c r="E14" s="8">
        <v>3.9399999999999998E-2</v>
      </c>
      <c r="F14" s="8">
        <v>0.05</v>
      </c>
      <c r="G14" s="8">
        <v>6.2799999999999995E-2</v>
      </c>
      <c r="H14" s="8">
        <v>8.0500000000000002E-2</v>
      </c>
      <c r="I14" s="8">
        <v>0.1075</v>
      </c>
      <c r="J14" s="8">
        <v>0.16059999999999999</v>
      </c>
      <c r="K14" s="8">
        <v>0.43719999999999998</v>
      </c>
      <c r="L14" s="16">
        <v>0.55120000000000002</v>
      </c>
      <c r="M14" s="20">
        <f>1-0.1*(B14+(2*SUM($B14:B14)+C14)+(2*SUM($B14:C14)+D14)+(2*SUM($B14:D14)+E14)+(2*SUM($B14:E14)+F14)+(2*SUM($B14:F14)+G14)+(2*SUM($B14:G14)+H14)+(2*SUM($B14:H14)+I14)+(2*SUM($B14:I14)+J14)+(2*SUM($B14:J14)+K14))</f>
        <v>0.53432000000000002</v>
      </c>
      <c r="N14" s="16">
        <v>0.56299999999999994</v>
      </c>
      <c r="O14" s="6">
        <f t="shared" si="0"/>
        <v>0.1512</v>
      </c>
      <c r="P14" s="6">
        <f t="shared" si="1"/>
        <v>0.43719999999999998</v>
      </c>
    </row>
    <row r="15" spans="1:16" x14ac:dyDescent="0.35">
      <c r="A15" s="19">
        <v>2022</v>
      </c>
      <c r="B15" s="8">
        <v>1.03E-2</v>
      </c>
      <c r="C15" s="8">
        <v>2.1899999999999999E-2</v>
      </c>
      <c r="D15" s="8">
        <v>3.0800000000000001E-2</v>
      </c>
      <c r="E15" s="8">
        <v>3.9800000000000002E-2</v>
      </c>
      <c r="F15" s="8">
        <v>5.0200000000000002E-2</v>
      </c>
      <c r="G15" s="8">
        <v>6.3100000000000003E-2</v>
      </c>
      <c r="H15" s="8">
        <v>8.0600000000000005E-2</v>
      </c>
      <c r="I15" s="8">
        <v>0.1076</v>
      </c>
      <c r="J15" s="8">
        <v>0.16059999999999999</v>
      </c>
      <c r="K15" s="8">
        <v>0.43509999999999999</v>
      </c>
      <c r="L15" s="16">
        <v>0.54820000000000002</v>
      </c>
      <c r="M15" s="20">
        <f>1-0.1*(B15+(2*SUM($B15:B15)+C15)+(2*SUM($B15:C15)+D15)+(2*SUM($B15:D15)+E15)+(2*SUM($B15:E15)+F15)+(2*SUM($B15:F15)+G15)+(2*SUM($B15:G15)+H15)+(2*SUM($B15:H15)+I15)+(2*SUM($B15:I15)+J15)+(2*SUM($B15:J15)+K15))</f>
        <v>0.53133999999999992</v>
      </c>
      <c r="N15" s="16">
        <v>0.55600000000000005</v>
      </c>
      <c r="O15" s="6">
        <f t="shared" si="0"/>
        <v>0.153</v>
      </c>
      <c r="P15" s="6">
        <f t="shared" si="1"/>
        <v>0.43509999999999999</v>
      </c>
    </row>
    <row r="16" spans="1:16" x14ac:dyDescent="0.35">
      <c r="A16" s="19">
        <v>2023</v>
      </c>
      <c r="B16" s="8">
        <v>1.0500000000000001E-2</v>
      </c>
      <c r="C16" s="8">
        <v>2.1899999999999999E-2</v>
      </c>
      <c r="D16" s="8">
        <v>3.0700000000000002E-2</v>
      </c>
      <c r="E16" s="8">
        <v>3.9699999999999999E-2</v>
      </c>
      <c r="F16" s="8">
        <v>5.0200000000000002E-2</v>
      </c>
      <c r="G16" s="8">
        <v>6.3500000000000001E-2</v>
      </c>
      <c r="H16" s="8">
        <v>8.1600000000000006E-2</v>
      </c>
      <c r="I16" s="8">
        <v>0.1094</v>
      </c>
      <c r="J16" s="8">
        <v>0.16159999999999999</v>
      </c>
      <c r="K16" s="8">
        <v>0.43080000000000002</v>
      </c>
      <c r="L16" s="16">
        <v>0.54579999999999995</v>
      </c>
      <c r="M16" s="20">
        <f>1-0.1*(B16+(2*SUM($B16:B16)+C16)+(2*SUM($B16:C16)+D16)+(2*SUM($B16:D16)+E16)+(2*SUM($B16:E16)+F16)+(2*SUM($B16:F16)+G16)+(2*SUM($B16:G16)+H16)+(2*SUM($B16:H16)+I16)+(2*SUM($B16:I16)+J16)+(2*SUM($B16:J16)+K16))</f>
        <v>0.52940999999999994</v>
      </c>
      <c r="N16" s="16">
        <v>0.55300000000000005</v>
      </c>
      <c r="O16" s="6">
        <f t="shared" si="0"/>
        <v>0.153</v>
      </c>
      <c r="P16" s="6">
        <f t="shared" si="1"/>
        <v>0.43080000000000002</v>
      </c>
    </row>
    <row r="17" spans="1:16" x14ac:dyDescent="0.35">
      <c r="A17" s="21">
        <v>2024</v>
      </c>
      <c r="B17" s="8">
        <v>1.03E-2</v>
      </c>
      <c r="C17" s="8">
        <v>2.1600000000000001E-2</v>
      </c>
      <c r="D17" s="8">
        <v>3.0700000000000002E-2</v>
      </c>
      <c r="E17" s="8">
        <v>4.0099999999999997E-2</v>
      </c>
      <c r="F17" s="8">
        <v>5.0799999999999998E-2</v>
      </c>
      <c r="G17" s="8">
        <v>6.4600000000000005E-2</v>
      </c>
      <c r="H17" s="8">
        <v>8.2799999999999999E-2</v>
      </c>
      <c r="I17" s="8">
        <v>0.1104</v>
      </c>
      <c r="J17" s="8">
        <v>0.1613</v>
      </c>
      <c r="K17" s="8">
        <v>0.42749999999999999</v>
      </c>
      <c r="L17" s="16">
        <v>0.54379999999999995</v>
      </c>
      <c r="M17" s="20">
        <f>1-0.1*(B17+(2*SUM($B17:B17)+C17)+(2*SUM($B17:C17)+D17)+(2*SUM($B17:D17)+E17)+(2*SUM($B17:E17)+F17)+(2*SUM($B17:F17)+G17)+(2*SUM($B17:G17)+H17)+(2*SUM($B17:H17)+I17)+(2*SUM($B17:I17)+J17)+(2*SUM($B17:J17)+K17))</f>
        <v>0.52720999999999996</v>
      </c>
      <c r="N17" s="16">
        <v>0.55100000000000005</v>
      </c>
      <c r="O17" s="6">
        <f t="shared" si="0"/>
        <v>0.1535</v>
      </c>
      <c r="P17" s="6">
        <f t="shared" si="1"/>
        <v>0.42749999999999999</v>
      </c>
    </row>
    <row r="18" spans="1:16" x14ac:dyDescent="0.35">
      <c r="A18" s="19">
        <v>2025</v>
      </c>
      <c r="N18" s="16">
        <v>0.53100000000000003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22" t="s">
        <v>45</v>
      </c>
    </row>
    <row r="2" spans="1:1" x14ac:dyDescent="0.35">
      <c r="A2" s="23" t="s">
        <v>46</v>
      </c>
    </row>
    <row r="3" spans="1:1" x14ac:dyDescent="0.35">
      <c r="A3" s="24" t="s">
        <v>47</v>
      </c>
    </row>
    <row r="4" spans="1:1" x14ac:dyDescent="0.35">
      <c r="A4" s="24" t="s">
        <v>48</v>
      </c>
    </row>
    <row r="5" spans="1:1" ht="25" x14ac:dyDescent="0.35">
      <c r="A5" s="24" t="s">
        <v>49</v>
      </c>
    </row>
    <row r="6" spans="1:1" x14ac:dyDescent="0.35">
      <c r="A6" s="24" t="s">
        <v>50</v>
      </c>
    </row>
    <row r="7" spans="1:1" x14ac:dyDescent="0.35">
      <c r="A7" s="24"/>
    </row>
    <row r="8" spans="1:1" x14ac:dyDescent="0.35">
      <c r="A8" s="23" t="s">
        <v>51</v>
      </c>
    </row>
    <row r="9" spans="1:1" ht="25" x14ac:dyDescent="0.35">
      <c r="A9" s="24" t="s">
        <v>52</v>
      </c>
    </row>
    <row r="10" spans="1:1" ht="25" x14ac:dyDescent="0.35">
      <c r="A10" s="24" t="s">
        <v>53</v>
      </c>
    </row>
    <row r="11" spans="1:1" x14ac:dyDescent="0.35">
      <c r="A11" s="24" t="s">
        <v>54</v>
      </c>
    </row>
    <row r="12" spans="1:1" x14ac:dyDescent="0.35">
      <c r="A12" s="24" t="s">
        <v>55</v>
      </c>
    </row>
    <row r="13" spans="1:1" x14ac:dyDescent="0.35">
      <c r="A13" s="24"/>
    </row>
    <row r="14" spans="1:1" x14ac:dyDescent="0.35">
      <c r="A14" s="23" t="s">
        <v>56</v>
      </c>
    </row>
    <row r="15" spans="1:1" x14ac:dyDescent="0.35">
      <c r="A15" s="24" t="s">
        <v>57</v>
      </c>
    </row>
    <row r="16" spans="1:1" x14ac:dyDescent="0.35">
      <c r="A16" s="24" t="s">
        <v>58</v>
      </c>
    </row>
    <row r="17" spans="1:1" x14ac:dyDescent="0.35">
      <c r="A17" s="24" t="s">
        <v>59</v>
      </c>
    </row>
    <row r="18" spans="1:1" x14ac:dyDescent="0.35">
      <c r="A18" s="24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Lorenz 2024</vt:lpstr>
      <vt:lpstr>Deciles by year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2026-10-14T02:35:05Z</dcterms:created>
  <dcterms:modified xsi:type="dcterms:W3CDTF">2026-10-14T02:35:14Z</dcterms:modified>
</cp:coreProperties>
</file>