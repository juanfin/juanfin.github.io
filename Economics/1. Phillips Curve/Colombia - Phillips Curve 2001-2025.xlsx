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Projects\personal-web-portfolio\Economics\1. Phillips Curve\"/>
    </mc:Choice>
  </mc:AlternateContent>
  <xr:revisionPtr revIDLastSave="0" documentId="13_ncr:1_{DEBA006F-673A-4D84-BA31-A0DF2BFBB1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nual" sheetId="1" r:id="rId1"/>
    <sheet name="Monthly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C29" i="1"/>
  <c r="B29" i="1"/>
  <c r="D28" i="1"/>
  <c r="C28" i="1"/>
  <c r="B28" i="1"/>
  <c r="D27" i="1"/>
  <c r="C27" i="1"/>
  <c r="J9" i="1" s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J8" i="1" s="1"/>
  <c r="B14" i="1"/>
  <c r="I8" i="1" s="1"/>
  <c r="D13" i="1"/>
  <c r="C13" i="1"/>
  <c r="B13" i="1"/>
  <c r="D12" i="1"/>
  <c r="C12" i="1"/>
  <c r="B12" i="1"/>
  <c r="D11" i="1"/>
  <c r="C11" i="1"/>
  <c r="B11" i="1"/>
  <c r="D10" i="1"/>
  <c r="C10" i="1"/>
  <c r="B10" i="1"/>
  <c r="G9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G7" i="1" l="1"/>
  <c r="G8" i="1"/>
  <c r="H9" i="1"/>
  <c r="H8" i="1"/>
  <c r="I9" i="1"/>
  <c r="I6" i="1"/>
  <c r="J7" i="1"/>
  <c r="G6" i="1"/>
  <c r="H7" i="1"/>
  <c r="H6" i="1"/>
  <c r="I7" i="1"/>
  <c r="J6" i="1"/>
</calcChain>
</file>

<file path=xl/sharedStrings.xml><?xml version="1.0" encoding="utf-8"?>
<sst xmlns="http://schemas.openxmlformats.org/spreadsheetml/2006/main" count="36" uniqueCount="34">
  <si>
    <t>Phillips curve for Colombia: annual averages, 2001 to 2025</t>
  </si>
  <si>
    <t>Percent. Annual figures are the average of the twelve monthly values on the Monthly sheet.</t>
  </si>
  <si>
    <t>Year</t>
  </si>
  <si>
    <t>Unemployment rate</t>
  </si>
  <si>
    <t>Annual inflation</t>
  </si>
  <si>
    <t>Inflation, December</t>
  </si>
  <si>
    <t>Relationship: inflation = a + b x unemployment</t>
  </si>
  <si>
    <t>Period</t>
  </si>
  <si>
    <t>Slope (b)</t>
  </si>
  <si>
    <t>Intercept (a)</t>
  </si>
  <si>
    <t>Correlation</t>
  </si>
  <si>
    <t>R squared</t>
  </si>
  <si>
    <t>2001 to 2025, all years</t>
  </si>
  <si>
    <t>2001 to 2009</t>
  </si>
  <si>
    <t>2010 to 2019</t>
  </si>
  <si>
    <t>2022 to 2025</t>
  </si>
  <si>
    <t>A negative slope is what the Phillips curve predicts: lower unemployment with higher inflation.</t>
  </si>
  <si>
    <t>Colombia: monthly unemployment rate and annual inflation, 2001 to 2025</t>
  </si>
  <si>
    <t>Percent. Blue figures are source data (DANE, retrieved from the Banco de la Republica statistical catalogue).</t>
  </si>
  <si>
    <t>Month</t>
  </si>
  <si>
    <t>Annual inflation (CPI)</t>
  </si>
  <si>
    <t>Notes</t>
  </si>
  <si>
    <t>Definitions</t>
  </si>
  <si>
    <t>Unemployment rate: national total, monthly, from DANE's household survey (GEIH). Not seasonally adjusted.</t>
  </si>
  <si>
    <t>Annual inflation: 12-month change in the consumer price index (CPI) calculated by DANE.</t>
  </si>
  <si>
    <t>The Phillips curve describes an inverse short-run relationship between unemployment and inflation.</t>
  </si>
  <si>
    <t>Points to keep in mind</t>
  </si>
  <si>
    <t>Annual averages are used because the monthly unemployment rate is strongly seasonal (it peaks every January).</t>
  </si>
  <si>
    <t>The relationship is a simple linear regression of inflation on unemployment. It describes an association and does not prove causation.</t>
  </si>
  <si>
    <t>2020 and 2021 are affected by the pandemic: unemployment rose sharply while inflation fell.</t>
  </si>
  <si>
    <t>The period regressions use few observations (4 to 10 years each), so they should be read as descriptive.</t>
  </si>
  <si>
    <t>Source</t>
  </si>
  <si>
    <t>DANE, retrieved from the Banco de la Republica statistical catalogue: series 15312 (unemployment rate, national total) and series 15270 (total annual inflation).</t>
  </si>
  <si>
    <t>Retrieved on 2026-10-13.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</si>
</sst>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m\-yyyy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F3C7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0" fillId="2" borderId="0" xfId="0" applyFill="1"/>
    <xf numFmtId="1" fontId="4" fillId="0" borderId="0" xfId="0" applyNumberFormat="1" applyFont="1" applyAlignment="1">
      <alignment horizontal="left" vertical="center" wrapText="1"/>
    </xf>
    <xf numFmtId="2" fontId="4" fillId="0" borderId="0" xfId="0" applyNumberFormat="1" applyFont="1" applyAlignment="1">
      <alignment horizontal="right" vertical="center" wrapText="1"/>
    </xf>
    <xf numFmtId="0" fontId="6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right" vertical="center" wrapText="1"/>
    </xf>
    <xf numFmtId="1" fontId="6" fillId="3" borderId="0" xfId="0" applyNumberFormat="1" applyFont="1" applyFill="1" applyAlignment="1">
      <alignment horizontal="left" vertical="center" wrapText="1"/>
    </xf>
    <xf numFmtId="2" fontId="6" fillId="3" borderId="0" xfId="0" applyNumberFormat="1" applyFont="1" applyFill="1" applyAlignment="1">
      <alignment horizontal="right" vertical="center" wrapText="1"/>
    </xf>
    <xf numFmtId="165" fontId="4" fillId="0" borderId="0" xfId="0" applyNumberFormat="1" applyFont="1" applyAlignment="1">
      <alignment horizontal="left" vertical="center" wrapText="1"/>
    </xf>
    <xf numFmtId="1" fontId="4" fillId="0" borderId="0" xfId="0" applyNumberFormat="1" applyFont="1" applyAlignment="1">
      <alignment horizontal="right" vertical="center" wrapText="1"/>
    </xf>
    <xf numFmtId="2" fontId="5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Colombia: inflation against unemployment, annual averages 2001-2025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Years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xVal>
            <c:numRef>
              <c:f>Annual!$B$5:$B$29</c:f>
              <c:numCache>
                <c:formatCode>0.00</c:formatCode>
                <c:ptCount val="25"/>
                <c:pt idx="0">
                  <c:v>14.975</c:v>
                </c:pt>
                <c:pt idx="1">
                  <c:v>15.637499999999998</c:v>
                </c:pt>
                <c:pt idx="2">
                  <c:v>14.083333333333334</c:v>
                </c:pt>
                <c:pt idx="3">
                  <c:v>13.620833333333332</c:v>
                </c:pt>
                <c:pt idx="4">
                  <c:v>11.825833333333334</c:v>
                </c:pt>
                <c:pt idx="5">
                  <c:v>12.056666666666665</c:v>
                </c:pt>
                <c:pt idx="6">
                  <c:v>11.298333333333334</c:v>
                </c:pt>
                <c:pt idx="7">
                  <c:v>11.39</c:v>
                </c:pt>
                <c:pt idx="8">
                  <c:v>12.215833333333334</c:v>
                </c:pt>
                <c:pt idx="9">
                  <c:v>11.994166666666667</c:v>
                </c:pt>
                <c:pt idx="10">
                  <c:v>11.068333333333333</c:v>
                </c:pt>
                <c:pt idx="11">
                  <c:v>10.628333333333332</c:v>
                </c:pt>
                <c:pt idx="12">
                  <c:v>9.9091666666666658</c:v>
                </c:pt>
                <c:pt idx="13">
                  <c:v>9.4083333333333314</c:v>
                </c:pt>
                <c:pt idx="14">
                  <c:v>9.1974999999999998</c:v>
                </c:pt>
                <c:pt idx="15">
                  <c:v>9.5449999999999982</c:v>
                </c:pt>
                <c:pt idx="16">
                  <c:v>9.6758333333333315</c:v>
                </c:pt>
                <c:pt idx="17">
                  <c:v>9.9666666666666668</c:v>
                </c:pt>
                <c:pt idx="18">
                  <c:v>10.887500000000001</c:v>
                </c:pt>
                <c:pt idx="19">
                  <c:v>16.6675</c:v>
                </c:pt>
                <c:pt idx="20">
                  <c:v>13.810833333333333</c:v>
                </c:pt>
                <c:pt idx="21">
                  <c:v>11.218333333333334</c:v>
                </c:pt>
                <c:pt idx="22">
                  <c:v>10.164166666666668</c:v>
                </c:pt>
                <c:pt idx="23">
                  <c:v>10.165833333333332</c:v>
                </c:pt>
                <c:pt idx="24">
                  <c:v>8.8974999999999991</c:v>
                </c:pt>
              </c:numCache>
            </c:numRef>
          </c:xVal>
          <c:yVal>
            <c:numRef>
              <c:f>Annual!$C$5:$C$29</c:f>
              <c:numCache>
                <c:formatCode>0.00</c:formatCode>
                <c:ptCount val="25"/>
                <c:pt idx="0">
                  <c:v>7.972500000000001</c:v>
                </c:pt>
                <c:pt idx="1">
                  <c:v>6.3533333333333326</c:v>
                </c:pt>
                <c:pt idx="2">
                  <c:v>7.1358333333333333</c:v>
                </c:pt>
                <c:pt idx="3">
                  <c:v>5.9066666666666663</c:v>
                </c:pt>
                <c:pt idx="4">
                  <c:v>5.0516666666666667</c:v>
                </c:pt>
                <c:pt idx="5">
                  <c:v>4.2966666666666669</c:v>
                </c:pt>
                <c:pt idx="6">
                  <c:v>5.5424999999999995</c:v>
                </c:pt>
                <c:pt idx="7">
                  <c:v>6.9899999999999993</c:v>
                </c:pt>
                <c:pt idx="8">
                  <c:v>4.2341666666666669</c:v>
                </c:pt>
                <c:pt idx="9">
                  <c:v>2.2708333333333335</c:v>
                </c:pt>
                <c:pt idx="10">
                  <c:v>3.4149999999999991</c:v>
                </c:pt>
                <c:pt idx="11">
                  <c:v>3.1708333333333338</c:v>
                </c:pt>
                <c:pt idx="12">
                  <c:v>2.0183333333333335</c:v>
                </c:pt>
                <c:pt idx="13">
                  <c:v>2.8974999999999995</c:v>
                </c:pt>
                <c:pt idx="14">
                  <c:v>4.9841666666666669</c:v>
                </c:pt>
                <c:pt idx="15">
                  <c:v>7.5233333333333325</c:v>
                </c:pt>
                <c:pt idx="16">
                  <c:v>4.3216666666666654</c:v>
                </c:pt>
                <c:pt idx="17">
                  <c:v>3.2425000000000002</c:v>
                </c:pt>
                <c:pt idx="18">
                  <c:v>3.5183333333333331</c:v>
                </c:pt>
                <c:pt idx="19">
                  <c:v>2.5349999999999997</c:v>
                </c:pt>
                <c:pt idx="20">
                  <c:v>3.4941666666666662</c:v>
                </c:pt>
                <c:pt idx="21">
                  <c:v>10.150833333333333</c:v>
                </c:pt>
                <c:pt idx="22">
                  <c:v>11.774166666666668</c:v>
                </c:pt>
                <c:pt idx="23">
                  <c:v>6.6291666666666664</c:v>
                </c:pt>
                <c:pt idx="24">
                  <c:v>5.1425000000000001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15-4E97-843E-066D37C8D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8"/>
          <c:min val="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Unemployment rate (%)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Annual inflation (%)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12</xdr:row>
      <xdr:rowOff>0</xdr:rowOff>
    </xdr:from>
    <xdr:ext cx="612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showGridLines="0"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8" customWidth="1"/>
    <col min="2" max="2" width="19" customWidth="1"/>
    <col min="3" max="3" width="18" customWidth="1"/>
    <col min="4" max="4" width="20" customWidth="1"/>
    <col min="5" max="5" width="3" customWidth="1"/>
    <col min="6" max="6" width="26" customWidth="1"/>
    <col min="7" max="7" width="12" customWidth="1"/>
    <col min="8" max="8" width="13" customWidth="1"/>
    <col min="9" max="10" width="12" customWidth="1"/>
  </cols>
  <sheetData>
    <row r="1" spans="1:10" ht="234" x14ac:dyDescent="0.35">
      <c r="A1" s="1" t="s">
        <v>0</v>
      </c>
    </row>
    <row r="2" spans="1:10" ht="144" x14ac:dyDescent="0.35">
      <c r="A2" s="2" t="s">
        <v>1</v>
      </c>
    </row>
    <row r="4" spans="1:10" ht="26" x14ac:dyDescent="0.35">
      <c r="A4" s="3" t="s">
        <v>2</v>
      </c>
      <c r="B4" s="4" t="s">
        <v>3</v>
      </c>
      <c r="C4" s="4" t="s">
        <v>4</v>
      </c>
      <c r="D4" s="4" t="s">
        <v>5</v>
      </c>
      <c r="F4" s="3" t="s">
        <v>6</v>
      </c>
      <c r="G4" s="5"/>
      <c r="H4" s="5"/>
      <c r="I4" s="5"/>
      <c r="J4" s="5"/>
    </row>
    <row r="5" spans="1:10" x14ac:dyDescent="0.35">
      <c r="A5" s="6">
        <v>2001</v>
      </c>
      <c r="B5" s="7">
        <f>AVERAGEIFS(Monthly!$C$5:$C$304,Monthly!$B$5:$B$304,A5)</f>
        <v>14.975</v>
      </c>
      <c r="C5" s="7">
        <f>AVERAGEIFS(Monthly!$D$5:$D$304,Monthly!$B$5:$B$304,A5)</f>
        <v>7.972500000000001</v>
      </c>
      <c r="D5" s="7">
        <f>Monthly!D16</f>
        <v>7.65</v>
      </c>
      <c r="F5" s="8" t="s">
        <v>7</v>
      </c>
      <c r="G5" s="9" t="s">
        <v>8</v>
      </c>
      <c r="H5" s="9" t="s">
        <v>9</v>
      </c>
      <c r="I5" s="9" t="s">
        <v>10</v>
      </c>
      <c r="J5" s="9" t="s">
        <v>11</v>
      </c>
    </row>
    <row r="6" spans="1:10" x14ac:dyDescent="0.35">
      <c r="A6" s="6">
        <v>2002</v>
      </c>
      <c r="B6" s="7">
        <f>AVERAGEIFS(Monthly!$C$5:$C$304,Monthly!$B$5:$B$304,A6)</f>
        <v>15.637499999999998</v>
      </c>
      <c r="C6" s="7">
        <f>AVERAGEIFS(Monthly!$D$5:$D$304,Monthly!$B$5:$B$304,A6)</f>
        <v>6.3533333333333326</v>
      </c>
      <c r="D6" s="7">
        <f>Monthly!D28</f>
        <v>6.99</v>
      </c>
      <c r="F6" s="10" t="s">
        <v>12</v>
      </c>
      <c r="G6" s="11">
        <f>SLOPE($C$5:$C$29,$B$5:$B$29)</f>
        <v>2.1020912313394598E-2</v>
      </c>
      <c r="H6" s="7">
        <f>INTERCEPT($C$5:$C$29,$B$5:$B$29)</f>
        <v>4.9787648259127577</v>
      </c>
      <c r="I6" s="11">
        <f>CORREL($B$5:$B$29,$C$5:$C$29)</f>
        <v>1.8207092785994541E-2</v>
      </c>
      <c r="J6" s="11">
        <f>RSQ($C$5:$C$29,$B$5:$B$29)</f>
        <v>3.3149822771781461E-4</v>
      </c>
    </row>
    <row r="7" spans="1:10" x14ac:dyDescent="0.35">
      <c r="A7" s="6">
        <v>2003</v>
      </c>
      <c r="B7" s="7">
        <f>AVERAGEIFS(Monthly!$C$5:$C$304,Monthly!$B$5:$B$304,A7)</f>
        <v>14.083333333333334</v>
      </c>
      <c r="C7" s="7">
        <f>AVERAGEIFS(Monthly!$D$5:$D$304,Monthly!$B$5:$B$304,A7)</f>
        <v>7.1358333333333333</v>
      </c>
      <c r="D7" s="7">
        <f>Monthly!D40</f>
        <v>6.49</v>
      </c>
      <c r="F7" s="10" t="s">
        <v>13</v>
      </c>
      <c r="G7" s="11">
        <f>SLOPE($C$5:$C$13,$B$5:$B$13)</f>
        <v>0.447207545959522</v>
      </c>
      <c r="H7" s="7">
        <f>INTERCEPT($C$5:$C$13,$B$5:$B$13)</f>
        <v>0.12375988996149445</v>
      </c>
      <c r="I7" s="11">
        <f>CORREL($B$5:$B$13,$C$5:$C$13)</f>
        <v>0.55713001109390103</v>
      </c>
      <c r="J7" s="11">
        <f>RSQ($C$5:$C$13,$B$5:$B$13)</f>
        <v>0.31039384926149044</v>
      </c>
    </row>
    <row r="8" spans="1:10" x14ac:dyDescent="0.35">
      <c r="A8" s="6">
        <v>2004</v>
      </c>
      <c r="B8" s="7">
        <f>AVERAGEIFS(Monthly!$C$5:$C$304,Monthly!$B$5:$B$304,A8)</f>
        <v>13.620833333333332</v>
      </c>
      <c r="C8" s="7">
        <f>AVERAGEIFS(Monthly!$D$5:$D$304,Monthly!$B$5:$B$304,A8)</f>
        <v>5.9066666666666663</v>
      </c>
      <c r="D8" s="7">
        <f>Monthly!D52</f>
        <v>5.5</v>
      </c>
      <c r="F8" s="10" t="s">
        <v>14</v>
      </c>
      <c r="G8" s="11">
        <f>SLOPE($C$14:$C$23,$B$14:$B$23)</f>
        <v>-0.85398757862619834</v>
      </c>
      <c r="H8" s="7">
        <f>INTERCEPT($C$14:$C$23,$B$14:$B$23)</f>
        <v>12.470906119820308</v>
      </c>
      <c r="I8" s="11">
        <f>CORREL($B$14:$B$23,$C$14:$C$23)</f>
        <v>-0.47685062635463277</v>
      </c>
      <c r="J8" s="11">
        <f>RSQ($C$14:$C$23,$B$14:$B$23)</f>
        <v>0.2273865198548056</v>
      </c>
    </row>
    <row r="9" spans="1:10" x14ac:dyDescent="0.35">
      <c r="A9" s="6">
        <v>2005</v>
      </c>
      <c r="B9" s="7">
        <f>AVERAGEIFS(Monthly!$C$5:$C$304,Monthly!$B$5:$B$304,A9)</f>
        <v>11.825833333333334</v>
      </c>
      <c r="C9" s="7">
        <f>AVERAGEIFS(Monthly!$D$5:$D$304,Monthly!$B$5:$B$304,A9)</f>
        <v>5.0516666666666667</v>
      </c>
      <c r="D9" s="7">
        <f>Monthly!D64</f>
        <v>4.8499999999999996</v>
      </c>
      <c r="F9" s="10" t="s">
        <v>15</v>
      </c>
      <c r="G9" s="11">
        <f>SLOPE($C$26:$C$29,$B$26:$B$29)</f>
        <v>2.2088206527108172</v>
      </c>
      <c r="H9" s="7">
        <f>INTERCEPT($C$26:$C$29,$B$26:$B$29)</f>
        <v>-13.910231329024898</v>
      </c>
      <c r="I9" s="11">
        <f>CORREL($B$26:$B$29,$C$26:$C$29)</f>
        <v>0.68410732442302391</v>
      </c>
      <c r="J9" s="11">
        <f>RSQ($C$26:$C$29,$B$26:$B$29)</f>
        <v>0.46800283132922865</v>
      </c>
    </row>
    <row r="10" spans="1:10" x14ac:dyDescent="0.35">
      <c r="A10" s="6">
        <v>2006</v>
      </c>
      <c r="B10" s="7">
        <f>AVERAGEIFS(Monthly!$C$5:$C$304,Monthly!$B$5:$B$304,A10)</f>
        <v>12.056666666666665</v>
      </c>
      <c r="C10" s="7">
        <f>AVERAGEIFS(Monthly!$D$5:$D$304,Monthly!$B$5:$B$304,A10)</f>
        <v>4.2966666666666669</v>
      </c>
      <c r="D10" s="7">
        <f>Monthly!D76</f>
        <v>4.4800000000000004</v>
      </c>
    </row>
    <row r="11" spans="1:10" ht="48" x14ac:dyDescent="0.35">
      <c r="A11" s="6">
        <v>2007</v>
      </c>
      <c r="B11" s="7">
        <f>AVERAGEIFS(Monthly!$C$5:$C$304,Monthly!$B$5:$B$304,A11)</f>
        <v>11.298333333333334</v>
      </c>
      <c r="C11" s="7">
        <f>AVERAGEIFS(Monthly!$D$5:$D$304,Monthly!$B$5:$B$304,A11)</f>
        <v>5.5424999999999995</v>
      </c>
      <c r="D11" s="7">
        <f>Monthly!D88</f>
        <v>5.69</v>
      </c>
      <c r="F11" s="2" t="s">
        <v>16</v>
      </c>
    </row>
    <row r="12" spans="1:10" x14ac:dyDescent="0.35">
      <c r="A12" s="6">
        <v>2008</v>
      </c>
      <c r="B12" s="7">
        <f>AVERAGEIFS(Monthly!$C$5:$C$304,Monthly!$B$5:$B$304,A12)</f>
        <v>11.39</v>
      </c>
      <c r="C12" s="7">
        <f>AVERAGEIFS(Monthly!$D$5:$D$304,Monthly!$B$5:$B$304,A12)</f>
        <v>6.9899999999999993</v>
      </c>
      <c r="D12" s="7">
        <f>Monthly!D100</f>
        <v>7.67</v>
      </c>
    </row>
    <row r="13" spans="1:10" x14ac:dyDescent="0.35">
      <c r="A13" s="6">
        <v>2009</v>
      </c>
      <c r="B13" s="7">
        <f>AVERAGEIFS(Monthly!$C$5:$C$304,Monthly!$B$5:$B$304,A13)</f>
        <v>12.215833333333334</v>
      </c>
      <c r="C13" s="7">
        <f>AVERAGEIFS(Monthly!$D$5:$D$304,Monthly!$B$5:$B$304,A13)</f>
        <v>4.2341666666666669</v>
      </c>
      <c r="D13" s="7">
        <f>Monthly!D112</f>
        <v>2</v>
      </c>
    </row>
    <row r="14" spans="1:10" x14ac:dyDescent="0.35">
      <c r="A14" s="6">
        <v>2010</v>
      </c>
      <c r="B14" s="7">
        <f>AVERAGEIFS(Monthly!$C$5:$C$304,Monthly!$B$5:$B$304,A14)</f>
        <v>11.994166666666667</v>
      </c>
      <c r="C14" s="7">
        <f>AVERAGEIFS(Monthly!$D$5:$D$304,Monthly!$B$5:$B$304,A14)</f>
        <v>2.2708333333333335</v>
      </c>
      <c r="D14" s="7">
        <f>Monthly!D124</f>
        <v>3.17</v>
      </c>
    </row>
    <row r="15" spans="1:10" x14ac:dyDescent="0.35">
      <c r="A15" s="6">
        <v>2011</v>
      </c>
      <c r="B15" s="7">
        <f>AVERAGEIFS(Monthly!$C$5:$C$304,Monthly!$B$5:$B$304,A15)</f>
        <v>11.068333333333333</v>
      </c>
      <c r="C15" s="7">
        <f>AVERAGEIFS(Monthly!$D$5:$D$304,Monthly!$B$5:$B$304,A15)</f>
        <v>3.4149999999999991</v>
      </c>
      <c r="D15" s="7">
        <f>Monthly!D136</f>
        <v>3.73</v>
      </c>
    </row>
    <row r="16" spans="1:10" x14ac:dyDescent="0.35">
      <c r="A16" s="6">
        <v>2012</v>
      </c>
      <c r="B16" s="7">
        <f>AVERAGEIFS(Monthly!$C$5:$C$304,Monthly!$B$5:$B$304,A16)</f>
        <v>10.628333333333332</v>
      </c>
      <c r="C16" s="7">
        <f>AVERAGEIFS(Monthly!$D$5:$D$304,Monthly!$B$5:$B$304,A16)</f>
        <v>3.1708333333333338</v>
      </c>
      <c r="D16" s="7">
        <f>Monthly!D148</f>
        <v>2.44</v>
      </c>
    </row>
    <row r="17" spans="1:4" x14ac:dyDescent="0.35">
      <c r="A17" s="6">
        <v>2013</v>
      </c>
      <c r="B17" s="7">
        <f>AVERAGEIFS(Monthly!$C$5:$C$304,Monthly!$B$5:$B$304,A17)</f>
        <v>9.9091666666666658</v>
      </c>
      <c r="C17" s="7">
        <f>AVERAGEIFS(Monthly!$D$5:$D$304,Monthly!$B$5:$B$304,A17)</f>
        <v>2.0183333333333335</v>
      </c>
      <c r="D17" s="7">
        <f>Monthly!D160</f>
        <v>1.94</v>
      </c>
    </row>
    <row r="18" spans="1:4" x14ac:dyDescent="0.35">
      <c r="A18" s="6">
        <v>2014</v>
      </c>
      <c r="B18" s="7">
        <f>AVERAGEIFS(Monthly!$C$5:$C$304,Monthly!$B$5:$B$304,A18)</f>
        <v>9.4083333333333314</v>
      </c>
      <c r="C18" s="7">
        <f>AVERAGEIFS(Monthly!$D$5:$D$304,Monthly!$B$5:$B$304,A18)</f>
        <v>2.8974999999999995</v>
      </c>
      <c r="D18" s="7">
        <f>Monthly!D172</f>
        <v>3.66</v>
      </c>
    </row>
    <row r="19" spans="1:4" x14ac:dyDescent="0.35">
      <c r="A19" s="6">
        <v>2015</v>
      </c>
      <c r="B19" s="7">
        <f>AVERAGEIFS(Monthly!$C$5:$C$304,Monthly!$B$5:$B$304,A19)</f>
        <v>9.1974999999999998</v>
      </c>
      <c r="C19" s="7">
        <f>AVERAGEIFS(Monthly!$D$5:$D$304,Monthly!$B$5:$B$304,A19)</f>
        <v>4.9841666666666669</v>
      </c>
      <c r="D19" s="7">
        <f>Monthly!D184</f>
        <v>6.77</v>
      </c>
    </row>
    <row r="20" spans="1:4" x14ac:dyDescent="0.35">
      <c r="A20" s="6">
        <v>2016</v>
      </c>
      <c r="B20" s="7">
        <f>AVERAGEIFS(Monthly!$C$5:$C$304,Monthly!$B$5:$B$304,A20)</f>
        <v>9.5449999999999982</v>
      </c>
      <c r="C20" s="7">
        <f>AVERAGEIFS(Monthly!$D$5:$D$304,Monthly!$B$5:$B$304,A20)</f>
        <v>7.5233333333333325</v>
      </c>
      <c r="D20" s="7">
        <f>Monthly!D196</f>
        <v>5.75</v>
      </c>
    </row>
    <row r="21" spans="1:4" x14ac:dyDescent="0.35">
      <c r="A21" s="6">
        <v>2017</v>
      </c>
      <c r="B21" s="7">
        <f>AVERAGEIFS(Monthly!$C$5:$C$304,Monthly!$B$5:$B$304,A21)</f>
        <v>9.6758333333333315</v>
      </c>
      <c r="C21" s="7">
        <f>AVERAGEIFS(Monthly!$D$5:$D$304,Monthly!$B$5:$B$304,A21)</f>
        <v>4.3216666666666654</v>
      </c>
      <c r="D21" s="7">
        <f>Monthly!D208</f>
        <v>4.09</v>
      </c>
    </row>
    <row r="22" spans="1:4" x14ac:dyDescent="0.35">
      <c r="A22" s="6">
        <v>2018</v>
      </c>
      <c r="B22" s="7">
        <f>AVERAGEIFS(Monthly!$C$5:$C$304,Monthly!$B$5:$B$304,A22)</f>
        <v>9.9666666666666668</v>
      </c>
      <c r="C22" s="7">
        <f>AVERAGEIFS(Monthly!$D$5:$D$304,Monthly!$B$5:$B$304,A22)</f>
        <v>3.2425000000000002</v>
      </c>
      <c r="D22" s="7">
        <f>Monthly!D220</f>
        <v>3.18</v>
      </c>
    </row>
    <row r="23" spans="1:4" x14ac:dyDescent="0.35">
      <c r="A23" s="6">
        <v>2019</v>
      </c>
      <c r="B23" s="7">
        <f>AVERAGEIFS(Monthly!$C$5:$C$304,Monthly!$B$5:$B$304,A23)</f>
        <v>10.887500000000001</v>
      </c>
      <c r="C23" s="7">
        <f>AVERAGEIFS(Monthly!$D$5:$D$304,Monthly!$B$5:$B$304,A23)</f>
        <v>3.5183333333333331</v>
      </c>
      <c r="D23" s="7">
        <f>Monthly!D232</f>
        <v>3.8</v>
      </c>
    </row>
    <row r="24" spans="1:4" x14ac:dyDescent="0.35">
      <c r="A24" s="6">
        <v>2020</v>
      </c>
      <c r="B24" s="7">
        <f>AVERAGEIFS(Monthly!$C$5:$C$304,Monthly!$B$5:$B$304,A24)</f>
        <v>16.6675</v>
      </c>
      <c r="C24" s="7">
        <f>AVERAGEIFS(Monthly!$D$5:$D$304,Monthly!$B$5:$B$304,A24)</f>
        <v>2.5349999999999997</v>
      </c>
      <c r="D24" s="7">
        <f>Monthly!D244</f>
        <v>1.61</v>
      </c>
    </row>
    <row r="25" spans="1:4" x14ac:dyDescent="0.35">
      <c r="A25" s="6">
        <v>2021</v>
      </c>
      <c r="B25" s="7">
        <f>AVERAGEIFS(Monthly!$C$5:$C$304,Monthly!$B$5:$B$304,A25)</f>
        <v>13.810833333333333</v>
      </c>
      <c r="C25" s="7">
        <f>AVERAGEIFS(Monthly!$D$5:$D$304,Monthly!$B$5:$B$304,A25)</f>
        <v>3.4941666666666662</v>
      </c>
      <c r="D25" s="7">
        <f>Monthly!D256</f>
        <v>5.62</v>
      </c>
    </row>
    <row r="26" spans="1:4" x14ac:dyDescent="0.35">
      <c r="A26" s="6">
        <v>2022</v>
      </c>
      <c r="B26" s="7">
        <f>AVERAGEIFS(Monthly!$C$5:$C$304,Monthly!$B$5:$B$304,A26)</f>
        <v>11.218333333333334</v>
      </c>
      <c r="C26" s="7">
        <f>AVERAGEIFS(Monthly!$D$5:$D$304,Monthly!$B$5:$B$304,A26)</f>
        <v>10.150833333333333</v>
      </c>
      <c r="D26" s="7">
        <f>Monthly!D268</f>
        <v>13.12</v>
      </c>
    </row>
    <row r="27" spans="1:4" x14ac:dyDescent="0.35">
      <c r="A27" s="6">
        <v>2023</v>
      </c>
      <c r="B27" s="7">
        <f>AVERAGEIFS(Monthly!$C$5:$C$304,Monthly!$B$5:$B$304,A27)</f>
        <v>10.164166666666668</v>
      </c>
      <c r="C27" s="7">
        <f>AVERAGEIFS(Monthly!$D$5:$D$304,Monthly!$B$5:$B$304,A27)</f>
        <v>11.774166666666668</v>
      </c>
      <c r="D27" s="7">
        <f>Monthly!D280</f>
        <v>9.2799999999999994</v>
      </c>
    </row>
    <row r="28" spans="1:4" x14ac:dyDescent="0.35">
      <c r="A28" s="6">
        <v>2024</v>
      </c>
      <c r="B28" s="7">
        <f>AVERAGEIFS(Monthly!$C$5:$C$304,Monthly!$B$5:$B$304,A28)</f>
        <v>10.165833333333332</v>
      </c>
      <c r="C28" s="7">
        <f>AVERAGEIFS(Monthly!$D$5:$D$304,Monthly!$B$5:$B$304,A28)</f>
        <v>6.6291666666666664</v>
      </c>
      <c r="D28" s="7">
        <f>Monthly!D292</f>
        <v>5.2</v>
      </c>
    </row>
    <row r="29" spans="1:4" x14ac:dyDescent="0.35">
      <c r="A29" s="12">
        <v>2025</v>
      </c>
      <c r="B29" s="13">
        <f>AVERAGEIFS(Monthly!$C$5:$C$304,Monthly!$B$5:$B$304,A29)</f>
        <v>8.8974999999999991</v>
      </c>
      <c r="C29" s="13">
        <f>AVERAGEIFS(Monthly!$D$5:$D$304,Monthly!$B$5:$B$304,A29)</f>
        <v>5.1425000000000001</v>
      </c>
      <c r="D29" s="13">
        <f>Monthly!D304</f>
        <v>5.0999999999999996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4" customWidth="1"/>
    <col min="2" max="2" width="8" customWidth="1"/>
    <col min="3" max="3" width="20" customWidth="1"/>
    <col min="4" max="4" width="24" customWidth="1"/>
  </cols>
  <sheetData>
    <row r="1" spans="1:4" ht="162" x14ac:dyDescent="0.35">
      <c r="A1" s="1" t="s">
        <v>17</v>
      </c>
    </row>
    <row r="2" spans="1:4" ht="96" x14ac:dyDescent="0.35">
      <c r="A2" s="2" t="s">
        <v>18</v>
      </c>
    </row>
    <row r="4" spans="1:4" x14ac:dyDescent="0.35">
      <c r="A4" s="3" t="s">
        <v>19</v>
      </c>
      <c r="B4" s="4" t="s">
        <v>2</v>
      </c>
      <c r="C4" s="4" t="s">
        <v>3</v>
      </c>
      <c r="D4" s="4" t="s">
        <v>20</v>
      </c>
    </row>
    <row r="5" spans="1:4" x14ac:dyDescent="0.35">
      <c r="A5" s="14">
        <v>36922</v>
      </c>
      <c r="B5" s="15">
        <v>2001</v>
      </c>
      <c r="C5" s="16">
        <v>16.62</v>
      </c>
      <c r="D5" s="16">
        <v>8.49</v>
      </c>
    </row>
    <row r="6" spans="1:4" x14ac:dyDescent="0.35">
      <c r="A6" s="14">
        <v>36950</v>
      </c>
      <c r="B6" s="15">
        <v>2001</v>
      </c>
      <c r="C6" s="16">
        <v>17.43</v>
      </c>
      <c r="D6" s="16">
        <v>8.06</v>
      </c>
    </row>
    <row r="7" spans="1:4" x14ac:dyDescent="0.35">
      <c r="A7" s="14">
        <v>36981</v>
      </c>
      <c r="B7" s="15">
        <v>2001</v>
      </c>
      <c r="C7" s="16">
        <v>15.81</v>
      </c>
      <c r="D7" s="16">
        <v>7.81</v>
      </c>
    </row>
    <row r="8" spans="1:4" x14ac:dyDescent="0.35">
      <c r="A8" s="14">
        <v>37011</v>
      </c>
      <c r="B8" s="15">
        <v>2001</v>
      </c>
      <c r="C8" s="16">
        <v>14.52</v>
      </c>
      <c r="D8" s="16">
        <v>7.98</v>
      </c>
    </row>
    <row r="9" spans="1:4" x14ac:dyDescent="0.35">
      <c r="A9" s="14">
        <v>37042</v>
      </c>
      <c r="B9" s="15">
        <v>2001</v>
      </c>
      <c r="C9" s="16">
        <v>14.04</v>
      </c>
      <c r="D9" s="16">
        <v>7.87</v>
      </c>
    </row>
    <row r="10" spans="1:4" x14ac:dyDescent="0.35">
      <c r="A10" s="14">
        <v>37072</v>
      </c>
      <c r="B10" s="15">
        <v>2001</v>
      </c>
      <c r="C10" s="16">
        <v>15.31</v>
      </c>
      <c r="D10" s="16">
        <v>7.93</v>
      </c>
    </row>
    <row r="11" spans="1:4" x14ac:dyDescent="0.35">
      <c r="A11" s="14">
        <v>37103</v>
      </c>
      <c r="B11" s="15">
        <v>2001</v>
      </c>
      <c r="C11" s="16">
        <v>15.18</v>
      </c>
      <c r="D11" s="16">
        <v>8.09</v>
      </c>
    </row>
    <row r="12" spans="1:4" x14ac:dyDescent="0.35">
      <c r="A12" s="14">
        <v>37134</v>
      </c>
      <c r="B12" s="15">
        <v>2001</v>
      </c>
      <c r="C12" s="16">
        <v>14.91</v>
      </c>
      <c r="D12" s="16">
        <v>8.0299999999999994</v>
      </c>
    </row>
    <row r="13" spans="1:4" x14ac:dyDescent="0.35">
      <c r="A13" s="14">
        <v>37164</v>
      </c>
      <c r="B13" s="15">
        <v>2001</v>
      </c>
      <c r="C13" s="16">
        <v>14.07</v>
      </c>
      <c r="D13" s="16">
        <v>7.97</v>
      </c>
    </row>
    <row r="14" spans="1:4" x14ac:dyDescent="0.35">
      <c r="A14" s="14">
        <v>37195</v>
      </c>
      <c r="B14" s="15">
        <v>2001</v>
      </c>
      <c r="C14" s="16">
        <v>14.52</v>
      </c>
      <c r="D14" s="16">
        <v>8.01</v>
      </c>
    </row>
    <row r="15" spans="1:4" x14ac:dyDescent="0.35">
      <c r="A15" s="14">
        <v>37225</v>
      </c>
      <c r="B15" s="15">
        <v>2001</v>
      </c>
      <c r="C15" s="16">
        <v>13.68</v>
      </c>
      <c r="D15" s="16">
        <v>7.78</v>
      </c>
    </row>
    <row r="16" spans="1:4" x14ac:dyDescent="0.35">
      <c r="A16" s="14">
        <v>37256</v>
      </c>
      <c r="B16" s="15">
        <v>2001</v>
      </c>
      <c r="C16" s="16">
        <v>13.61</v>
      </c>
      <c r="D16" s="16">
        <v>7.65</v>
      </c>
    </row>
    <row r="17" spans="1:4" x14ac:dyDescent="0.35">
      <c r="A17" s="14">
        <v>37287</v>
      </c>
      <c r="B17" s="15">
        <v>2002</v>
      </c>
      <c r="C17" s="16">
        <v>17.91</v>
      </c>
      <c r="D17" s="16">
        <v>7.37</v>
      </c>
    </row>
    <row r="18" spans="1:4" x14ac:dyDescent="0.35">
      <c r="A18" s="14">
        <v>37315</v>
      </c>
      <c r="B18" s="15">
        <v>2002</v>
      </c>
      <c r="C18" s="16">
        <v>16.190000000000001</v>
      </c>
      <c r="D18" s="16">
        <v>6.7</v>
      </c>
    </row>
    <row r="19" spans="1:4" x14ac:dyDescent="0.35">
      <c r="A19" s="14">
        <v>37346</v>
      </c>
      <c r="B19" s="15">
        <v>2002</v>
      </c>
      <c r="C19" s="16">
        <v>15.11</v>
      </c>
      <c r="D19" s="16">
        <v>5.89</v>
      </c>
    </row>
    <row r="20" spans="1:4" x14ac:dyDescent="0.35">
      <c r="A20" s="14">
        <v>37376</v>
      </c>
      <c r="B20" s="15">
        <v>2002</v>
      </c>
      <c r="C20" s="16">
        <v>16.079999999999998</v>
      </c>
      <c r="D20" s="16">
        <v>5.65</v>
      </c>
    </row>
    <row r="21" spans="1:4" x14ac:dyDescent="0.35">
      <c r="A21" s="14">
        <v>37407</v>
      </c>
      <c r="B21" s="15">
        <v>2002</v>
      </c>
      <c r="C21" s="16">
        <v>15.02</v>
      </c>
      <c r="D21" s="16">
        <v>5.84</v>
      </c>
    </row>
    <row r="22" spans="1:4" x14ac:dyDescent="0.35">
      <c r="A22" s="14">
        <v>37437</v>
      </c>
      <c r="B22" s="15">
        <v>2002</v>
      </c>
      <c r="C22" s="16">
        <v>15.91</v>
      </c>
      <c r="D22" s="16">
        <v>6.25</v>
      </c>
    </row>
    <row r="23" spans="1:4" x14ac:dyDescent="0.35">
      <c r="A23" s="14">
        <v>37468</v>
      </c>
      <c r="B23" s="15">
        <v>2002</v>
      </c>
      <c r="C23" s="16">
        <v>15.43</v>
      </c>
      <c r="D23" s="16">
        <v>6.16</v>
      </c>
    </row>
    <row r="24" spans="1:4" x14ac:dyDescent="0.35">
      <c r="A24" s="14">
        <v>37499</v>
      </c>
      <c r="B24" s="15">
        <v>2002</v>
      </c>
      <c r="C24" s="16">
        <v>15.95</v>
      </c>
      <c r="D24" s="16">
        <v>5.98</v>
      </c>
    </row>
    <row r="25" spans="1:4" x14ac:dyDescent="0.35">
      <c r="A25" s="14">
        <v>37529</v>
      </c>
      <c r="B25" s="15">
        <v>2002</v>
      </c>
      <c r="C25" s="16">
        <v>14.47</v>
      </c>
      <c r="D25" s="16">
        <v>5.97</v>
      </c>
    </row>
    <row r="26" spans="1:4" x14ac:dyDescent="0.35">
      <c r="A26" s="14">
        <v>37560</v>
      </c>
      <c r="B26" s="15">
        <v>2002</v>
      </c>
      <c r="C26" s="16">
        <v>14.97</v>
      </c>
      <c r="D26" s="16">
        <v>6.37</v>
      </c>
    </row>
    <row r="27" spans="1:4" x14ac:dyDescent="0.35">
      <c r="A27" s="14">
        <v>37590</v>
      </c>
      <c r="B27" s="15">
        <v>2002</v>
      </c>
      <c r="C27" s="16">
        <v>15.19</v>
      </c>
      <c r="D27" s="16">
        <v>7.07</v>
      </c>
    </row>
    <row r="28" spans="1:4" x14ac:dyDescent="0.35">
      <c r="A28" s="14">
        <v>37621</v>
      </c>
      <c r="B28" s="15">
        <v>2002</v>
      </c>
      <c r="C28" s="16">
        <v>15.42</v>
      </c>
      <c r="D28" s="16">
        <v>6.99</v>
      </c>
    </row>
    <row r="29" spans="1:4" x14ac:dyDescent="0.35">
      <c r="A29" s="14">
        <v>37652</v>
      </c>
      <c r="B29" s="15">
        <v>2003</v>
      </c>
      <c r="C29" s="16">
        <v>16.27</v>
      </c>
      <c r="D29" s="16">
        <v>7.39</v>
      </c>
    </row>
    <row r="30" spans="1:4" x14ac:dyDescent="0.35">
      <c r="A30" s="14">
        <v>37680</v>
      </c>
      <c r="B30" s="15">
        <v>2003</v>
      </c>
      <c r="C30" s="16">
        <v>15.84</v>
      </c>
      <c r="D30" s="16">
        <v>7.24</v>
      </c>
    </row>
    <row r="31" spans="1:4" x14ac:dyDescent="0.35">
      <c r="A31" s="14">
        <v>37711</v>
      </c>
      <c r="B31" s="15">
        <v>2003</v>
      </c>
      <c r="C31" s="16">
        <v>13.11</v>
      </c>
      <c r="D31" s="16">
        <v>7.6</v>
      </c>
    </row>
    <row r="32" spans="1:4" x14ac:dyDescent="0.35">
      <c r="A32" s="14">
        <v>37741</v>
      </c>
      <c r="B32" s="15">
        <v>2003</v>
      </c>
      <c r="C32" s="16">
        <v>15.01</v>
      </c>
      <c r="D32" s="16">
        <v>7.85</v>
      </c>
    </row>
    <row r="33" spans="1:4" x14ac:dyDescent="0.35">
      <c r="A33" s="14">
        <v>37772</v>
      </c>
      <c r="B33" s="15">
        <v>2003</v>
      </c>
      <c r="C33" s="16">
        <v>12.82</v>
      </c>
      <c r="D33" s="16">
        <v>7.73</v>
      </c>
    </row>
    <row r="34" spans="1:4" x14ac:dyDescent="0.35">
      <c r="A34" s="14">
        <v>37802</v>
      </c>
      <c r="B34" s="15">
        <v>2003</v>
      </c>
      <c r="C34" s="16">
        <v>14.11</v>
      </c>
      <c r="D34" s="16">
        <v>7.21</v>
      </c>
    </row>
    <row r="35" spans="1:4" x14ac:dyDescent="0.35">
      <c r="A35" s="14">
        <v>37833</v>
      </c>
      <c r="B35" s="15">
        <v>2003</v>
      </c>
      <c r="C35" s="16">
        <v>14.51</v>
      </c>
      <c r="D35" s="16">
        <v>7.04</v>
      </c>
    </row>
    <row r="36" spans="1:4" x14ac:dyDescent="0.35">
      <c r="A36" s="14">
        <v>37864</v>
      </c>
      <c r="B36" s="15">
        <v>2003</v>
      </c>
      <c r="C36" s="16">
        <v>14.38</v>
      </c>
      <c r="D36" s="16">
        <v>7.26</v>
      </c>
    </row>
    <row r="37" spans="1:4" x14ac:dyDescent="0.35">
      <c r="A37" s="14">
        <v>37894</v>
      </c>
      <c r="B37" s="15">
        <v>2003</v>
      </c>
      <c r="C37" s="16">
        <v>14.23</v>
      </c>
      <c r="D37" s="16">
        <v>7.11</v>
      </c>
    </row>
    <row r="38" spans="1:4" x14ac:dyDescent="0.35">
      <c r="A38" s="14">
        <v>37925</v>
      </c>
      <c r="B38" s="15">
        <v>2003</v>
      </c>
      <c r="C38" s="16">
        <v>13.52</v>
      </c>
      <c r="D38" s="16">
        <v>6.58</v>
      </c>
    </row>
    <row r="39" spans="1:4" x14ac:dyDescent="0.35">
      <c r="A39" s="14">
        <v>37955</v>
      </c>
      <c r="B39" s="15">
        <v>2003</v>
      </c>
      <c r="C39" s="16">
        <v>12.64</v>
      </c>
      <c r="D39" s="16">
        <v>6.13</v>
      </c>
    </row>
    <row r="40" spans="1:4" x14ac:dyDescent="0.35">
      <c r="A40" s="14">
        <v>37986</v>
      </c>
      <c r="B40" s="15">
        <v>2003</v>
      </c>
      <c r="C40" s="16">
        <v>12.56</v>
      </c>
      <c r="D40" s="16">
        <v>6.49</v>
      </c>
    </row>
    <row r="41" spans="1:4" x14ac:dyDescent="0.35">
      <c r="A41" s="14">
        <v>38017</v>
      </c>
      <c r="B41" s="15">
        <v>2004</v>
      </c>
      <c r="C41" s="16">
        <v>17.260000000000002</v>
      </c>
      <c r="D41" s="16">
        <v>6.19</v>
      </c>
    </row>
    <row r="42" spans="1:4" x14ac:dyDescent="0.35">
      <c r="A42" s="14">
        <v>38046</v>
      </c>
      <c r="B42" s="15">
        <v>2004</v>
      </c>
      <c r="C42" s="16">
        <v>15.75</v>
      </c>
      <c r="D42" s="16">
        <v>6.28</v>
      </c>
    </row>
    <row r="43" spans="1:4" x14ac:dyDescent="0.35">
      <c r="A43" s="14">
        <v>38077</v>
      </c>
      <c r="B43" s="15">
        <v>2004</v>
      </c>
      <c r="C43" s="16">
        <v>13.52</v>
      </c>
      <c r="D43" s="16">
        <v>6.21</v>
      </c>
    </row>
    <row r="44" spans="1:4" x14ac:dyDescent="0.35">
      <c r="A44" s="14">
        <v>38107</v>
      </c>
      <c r="B44" s="15">
        <v>2004</v>
      </c>
      <c r="C44" s="16">
        <v>14.68</v>
      </c>
      <c r="D44" s="16">
        <v>5.49</v>
      </c>
    </row>
    <row r="45" spans="1:4" x14ac:dyDescent="0.35">
      <c r="A45" s="14">
        <v>38138</v>
      </c>
      <c r="B45" s="15">
        <v>2004</v>
      </c>
      <c r="C45" s="16">
        <v>13.83</v>
      </c>
      <c r="D45" s="16">
        <v>5.37</v>
      </c>
    </row>
    <row r="46" spans="1:4" x14ac:dyDescent="0.35">
      <c r="A46" s="14">
        <v>38168</v>
      </c>
      <c r="B46" s="15">
        <v>2004</v>
      </c>
      <c r="C46" s="16">
        <v>14.07</v>
      </c>
      <c r="D46" s="16">
        <v>6.07</v>
      </c>
    </row>
    <row r="47" spans="1:4" x14ac:dyDescent="0.35">
      <c r="A47" s="14">
        <v>38199</v>
      </c>
      <c r="B47" s="15">
        <v>2004</v>
      </c>
      <c r="C47" s="16">
        <v>12.91</v>
      </c>
      <c r="D47" s="16">
        <v>6.19</v>
      </c>
    </row>
    <row r="48" spans="1:4" x14ac:dyDescent="0.35">
      <c r="A48" s="14">
        <v>38230</v>
      </c>
      <c r="B48" s="15">
        <v>2004</v>
      </c>
      <c r="C48" s="16">
        <v>13.06</v>
      </c>
      <c r="D48" s="16">
        <v>5.89</v>
      </c>
    </row>
    <row r="49" spans="1:4" x14ac:dyDescent="0.35">
      <c r="A49" s="14">
        <v>38260</v>
      </c>
      <c r="B49" s="15">
        <v>2004</v>
      </c>
      <c r="C49" s="16">
        <v>12.29</v>
      </c>
      <c r="D49" s="16">
        <v>5.97</v>
      </c>
    </row>
    <row r="50" spans="1:4" x14ac:dyDescent="0.35">
      <c r="A50" s="14">
        <v>38291</v>
      </c>
      <c r="B50" s="15">
        <v>2004</v>
      </c>
      <c r="C50" s="16">
        <v>12.29</v>
      </c>
      <c r="D50" s="16">
        <v>5.9</v>
      </c>
    </row>
    <row r="51" spans="1:4" x14ac:dyDescent="0.35">
      <c r="A51" s="14">
        <v>38321</v>
      </c>
      <c r="B51" s="15">
        <v>2004</v>
      </c>
      <c r="C51" s="16">
        <v>11.84</v>
      </c>
      <c r="D51" s="16">
        <v>5.82</v>
      </c>
    </row>
    <row r="52" spans="1:4" x14ac:dyDescent="0.35">
      <c r="A52" s="14">
        <v>38352</v>
      </c>
      <c r="B52" s="15">
        <v>2004</v>
      </c>
      <c r="C52" s="16">
        <v>11.95</v>
      </c>
      <c r="D52" s="16">
        <v>5.5</v>
      </c>
    </row>
    <row r="53" spans="1:4" x14ac:dyDescent="0.35">
      <c r="A53" s="14">
        <v>38383</v>
      </c>
      <c r="B53" s="15">
        <v>2005</v>
      </c>
      <c r="C53" s="16">
        <v>13.26</v>
      </c>
      <c r="D53" s="16">
        <v>5.43</v>
      </c>
    </row>
    <row r="54" spans="1:4" x14ac:dyDescent="0.35">
      <c r="A54" s="14">
        <v>38411</v>
      </c>
      <c r="B54" s="15">
        <v>2005</v>
      </c>
      <c r="C54" s="16">
        <v>14.1</v>
      </c>
      <c r="D54" s="16">
        <v>5.25</v>
      </c>
    </row>
    <row r="55" spans="1:4" x14ac:dyDescent="0.35">
      <c r="A55" s="14">
        <v>38442</v>
      </c>
      <c r="B55" s="15">
        <v>2005</v>
      </c>
      <c r="C55" s="16">
        <v>12.95</v>
      </c>
      <c r="D55" s="16">
        <v>5.03</v>
      </c>
    </row>
    <row r="56" spans="1:4" x14ac:dyDescent="0.35">
      <c r="A56" s="14">
        <v>38472</v>
      </c>
      <c r="B56" s="15">
        <v>2005</v>
      </c>
      <c r="C56" s="16">
        <v>12.02</v>
      </c>
      <c r="D56" s="16">
        <v>5.01</v>
      </c>
    </row>
    <row r="57" spans="1:4" x14ac:dyDescent="0.35">
      <c r="A57" s="14">
        <v>38503</v>
      </c>
      <c r="B57" s="15">
        <v>2005</v>
      </c>
      <c r="C57" s="16">
        <v>12.49</v>
      </c>
      <c r="D57" s="16">
        <v>5.04</v>
      </c>
    </row>
    <row r="58" spans="1:4" x14ac:dyDescent="0.35">
      <c r="A58" s="14">
        <v>38533</v>
      </c>
      <c r="B58" s="15">
        <v>2005</v>
      </c>
      <c r="C58" s="16">
        <v>11.54</v>
      </c>
      <c r="D58" s="16">
        <v>4.83</v>
      </c>
    </row>
    <row r="59" spans="1:4" x14ac:dyDescent="0.35">
      <c r="A59" s="14">
        <v>38564</v>
      </c>
      <c r="B59" s="15">
        <v>2005</v>
      </c>
      <c r="C59" s="16">
        <v>12.05</v>
      </c>
      <c r="D59" s="16">
        <v>4.91</v>
      </c>
    </row>
    <row r="60" spans="1:4" x14ac:dyDescent="0.35">
      <c r="A60" s="14">
        <v>38595</v>
      </c>
      <c r="B60" s="15">
        <v>2005</v>
      </c>
      <c r="C60" s="16">
        <v>11.72</v>
      </c>
      <c r="D60" s="16">
        <v>4.88</v>
      </c>
    </row>
    <row r="61" spans="1:4" x14ac:dyDescent="0.35">
      <c r="A61" s="14">
        <v>38625</v>
      </c>
      <c r="B61" s="15">
        <v>2005</v>
      </c>
      <c r="C61" s="16">
        <v>11.33</v>
      </c>
      <c r="D61" s="16">
        <v>5.0199999999999996</v>
      </c>
    </row>
    <row r="62" spans="1:4" x14ac:dyDescent="0.35">
      <c r="A62" s="14">
        <v>38656</v>
      </c>
      <c r="B62" s="15">
        <v>2005</v>
      </c>
      <c r="C62" s="16">
        <v>9.9</v>
      </c>
      <c r="D62" s="16">
        <v>5.27</v>
      </c>
    </row>
    <row r="63" spans="1:4" x14ac:dyDescent="0.35">
      <c r="A63" s="14">
        <v>38686</v>
      </c>
      <c r="B63" s="15">
        <v>2005</v>
      </c>
      <c r="C63" s="16">
        <v>10.28</v>
      </c>
      <c r="D63" s="16">
        <v>5.0999999999999996</v>
      </c>
    </row>
    <row r="64" spans="1:4" x14ac:dyDescent="0.35">
      <c r="A64" s="14">
        <v>38717</v>
      </c>
      <c r="B64" s="15">
        <v>2005</v>
      </c>
      <c r="C64" s="16">
        <v>10.27</v>
      </c>
      <c r="D64" s="16">
        <v>4.8499999999999996</v>
      </c>
    </row>
    <row r="65" spans="1:4" x14ac:dyDescent="0.35">
      <c r="A65" s="14">
        <v>38748</v>
      </c>
      <c r="B65" s="15">
        <v>2006</v>
      </c>
      <c r="C65" s="16">
        <v>13.37</v>
      </c>
      <c r="D65" s="16">
        <v>4.5599999999999996</v>
      </c>
    </row>
    <row r="66" spans="1:4" x14ac:dyDescent="0.35">
      <c r="A66" s="14">
        <v>38776</v>
      </c>
      <c r="B66" s="15">
        <v>2006</v>
      </c>
      <c r="C66" s="16">
        <v>13.08</v>
      </c>
      <c r="D66" s="16">
        <v>4.1900000000000004</v>
      </c>
    </row>
    <row r="67" spans="1:4" x14ac:dyDescent="0.35">
      <c r="A67" s="14">
        <v>38807</v>
      </c>
      <c r="B67" s="15">
        <v>2006</v>
      </c>
      <c r="C67" s="16">
        <v>11.37</v>
      </c>
      <c r="D67" s="16">
        <v>4.1100000000000003</v>
      </c>
    </row>
    <row r="68" spans="1:4" x14ac:dyDescent="0.35">
      <c r="A68" s="14">
        <v>38837</v>
      </c>
      <c r="B68" s="15">
        <v>2006</v>
      </c>
      <c r="C68" s="16">
        <v>12.06</v>
      </c>
      <c r="D68" s="16">
        <v>4.12</v>
      </c>
    </row>
    <row r="69" spans="1:4" x14ac:dyDescent="0.35">
      <c r="A69" s="14">
        <v>38868</v>
      </c>
      <c r="B69" s="15">
        <v>2006</v>
      </c>
      <c r="C69" s="16">
        <v>11.87</v>
      </c>
      <c r="D69" s="16">
        <v>4.04</v>
      </c>
    </row>
    <row r="70" spans="1:4" x14ac:dyDescent="0.35">
      <c r="A70" s="14">
        <v>38898</v>
      </c>
      <c r="B70" s="15">
        <v>2006</v>
      </c>
      <c r="C70" s="16">
        <v>10.48</v>
      </c>
      <c r="D70" s="16">
        <v>3.94</v>
      </c>
    </row>
    <row r="71" spans="1:4" x14ac:dyDescent="0.35">
      <c r="A71" s="14">
        <v>38929</v>
      </c>
      <c r="B71" s="15">
        <v>2006</v>
      </c>
      <c r="C71" s="16">
        <v>12.3</v>
      </c>
      <c r="D71" s="16">
        <v>4.32</v>
      </c>
    </row>
    <row r="72" spans="1:4" x14ac:dyDescent="0.35">
      <c r="A72" s="14">
        <v>38960</v>
      </c>
      <c r="B72" s="15">
        <v>2006</v>
      </c>
      <c r="C72" s="16">
        <v>13.04</v>
      </c>
      <c r="D72" s="16">
        <v>4.72</v>
      </c>
    </row>
    <row r="73" spans="1:4" x14ac:dyDescent="0.35">
      <c r="A73" s="14">
        <v>38990</v>
      </c>
      <c r="B73" s="15">
        <v>2006</v>
      </c>
      <c r="C73" s="16">
        <v>12.91</v>
      </c>
      <c r="D73" s="16">
        <v>4.58</v>
      </c>
    </row>
    <row r="74" spans="1:4" x14ac:dyDescent="0.35">
      <c r="A74" s="14">
        <v>39021</v>
      </c>
      <c r="B74" s="15">
        <v>2006</v>
      </c>
      <c r="C74" s="16">
        <v>11.36</v>
      </c>
      <c r="D74" s="16">
        <v>4.1900000000000004</v>
      </c>
    </row>
    <row r="75" spans="1:4" x14ac:dyDescent="0.35">
      <c r="A75" s="14">
        <v>39051</v>
      </c>
      <c r="B75" s="15">
        <v>2006</v>
      </c>
      <c r="C75" s="16">
        <v>11</v>
      </c>
      <c r="D75" s="16">
        <v>4.3099999999999996</v>
      </c>
    </row>
    <row r="76" spans="1:4" x14ac:dyDescent="0.35">
      <c r="A76" s="14">
        <v>39082</v>
      </c>
      <c r="B76" s="15">
        <v>2006</v>
      </c>
      <c r="C76" s="16">
        <v>11.84</v>
      </c>
      <c r="D76" s="16">
        <v>4.4800000000000004</v>
      </c>
    </row>
    <row r="77" spans="1:4" x14ac:dyDescent="0.35">
      <c r="A77" s="14">
        <v>39113</v>
      </c>
      <c r="B77" s="15">
        <v>2007</v>
      </c>
      <c r="C77" s="16">
        <v>14.28</v>
      </c>
      <c r="D77" s="16">
        <v>4.71</v>
      </c>
    </row>
    <row r="78" spans="1:4" x14ac:dyDescent="0.35">
      <c r="A78" s="14">
        <v>39141</v>
      </c>
      <c r="B78" s="15">
        <v>2007</v>
      </c>
      <c r="C78" s="16">
        <v>12.86</v>
      </c>
      <c r="D78" s="16">
        <v>5.25</v>
      </c>
    </row>
    <row r="79" spans="1:4" x14ac:dyDescent="0.35">
      <c r="A79" s="14">
        <v>39172</v>
      </c>
      <c r="B79" s="15">
        <v>2007</v>
      </c>
      <c r="C79" s="16">
        <v>12.03</v>
      </c>
      <c r="D79" s="16">
        <v>5.78</v>
      </c>
    </row>
    <row r="80" spans="1:4" x14ac:dyDescent="0.35">
      <c r="A80" s="14">
        <v>39202</v>
      </c>
      <c r="B80" s="15">
        <v>2007</v>
      </c>
      <c r="C80" s="16">
        <v>10.81</v>
      </c>
      <c r="D80" s="16">
        <v>6.26</v>
      </c>
    </row>
    <row r="81" spans="1:4" x14ac:dyDescent="0.35">
      <c r="A81" s="14">
        <v>39233</v>
      </c>
      <c r="B81" s="15">
        <v>2007</v>
      </c>
      <c r="C81" s="16">
        <v>11.7</v>
      </c>
      <c r="D81" s="16">
        <v>6.23</v>
      </c>
    </row>
    <row r="82" spans="1:4" x14ac:dyDescent="0.35">
      <c r="A82" s="14">
        <v>39263</v>
      </c>
      <c r="B82" s="15">
        <v>2007</v>
      </c>
      <c r="C82" s="16">
        <v>11.2</v>
      </c>
      <c r="D82" s="16">
        <v>6.03</v>
      </c>
    </row>
    <row r="83" spans="1:4" x14ac:dyDescent="0.35">
      <c r="A83" s="14">
        <v>39294</v>
      </c>
      <c r="B83" s="15">
        <v>2007</v>
      </c>
      <c r="C83" s="16">
        <v>11.35</v>
      </c>
      <c r="D83" s="16">
        <v>5.77</v>
      </c>
    </row>
    <row r="84" spans="1:4" x14ac:dyDescent="0.35">
      <c r="A84" s="14">
        <v>39325</v>
      </c>
      <c r="B84" s="15">
        <v>2007</v>
      </c>
      <c r="C84" s="16">
        <v>10.86</v>
      </c>
      <c r="D84" s="16">
        <v>5.22</v>
      </c>
    </row>
    <row r="85" spans="1:4" x14ac:dyDescent="0.35">
      <c r="A85" s="14">
        <v>39355</v>
      </c>
      <c r="B85" s="15">
        <v>2007</v>
      </c>
      <c r="C85" s="16">
        <v>10.87</v>
      </c>
      <c r="D85" s="16">
        <v>5</v>
      </c>
    </row>
    <row r="86" spans="1:4" x14ac:dyDescent="0.35">
      <c r="A86" s="14">
        <v>39386</v>
      </c>
      <c r="B86" s="15">
        <v>2007</v>
      </c>
      <c r="C86" s="16">
        <v>10.210000000000001</v>
      </c>
      <c r="D86" s="16">
        <v>5.16</v>
      </c>
    </row>
    <row r="87" spans="1:4" x14ac:dyDescent="0.35">
      <c r="A87" s="14">
        <v>39416</v>
      </c>
      <c r="B87" s="15">
        <v>2007</v>
      </c>
      <c r="C87" s="16">
        <v>9.49</v>
      </c>
      <c r="D87" s="16">
        <v>5.41</v>
      </c>
    </row>
    <row r="88" spans="1:4" x14ac:dyDescent="0.35">
      <c r="A88" s="14">
        <v>39447</v>
      </c>
      <c r="B88" s="15">
        <v>2007</v>
      </c>
      <c r="C88" s="16">
        <v>9.92</v>
      </c>
      <c r="D88" s="16">
        <v>5.69</v>
      </c>
    </row>
    <row r="89" spans="1:4" x14ac:dyDescent="0.35">
      <c r="A89" s="14">
        <v>39478</v>
      </c>
      <c r="B89" s="15">
        <v>2008</v>
      </c>
      <c r="C89" s="16">
        <v>13.3</v>
      </c>
      <c r="D89" s="16">
        <v>6</v>
      </c>
    </row>
    <row r="90" spans="1:4" x14ac:dyDescent="0.35">
      <c r="A90" s="14">
        <v>39507</v>
      </c>
      <c r="B90" s="15">
        <v>2008</v>
      </c>
      <c r="C90" s="16">
        <v>12.19</v>
      </c>
      <c r="D90" s="16">
        <v>6.35</v>
      </c>
    </row>
    <row r="91" spans="1:4" x14ac:dyDescent="0.35">
      <c r="A91" s="14">
        <v>39538</v>
      </c>
      <c r="B91" s="15">
        <v>2008</v>
      </c>
      <c r="C91" s="16">
        <v>11.34</v>
      </c>
      <c r="D91" s="16">
        <v>5.93</v>
      </c>
    </row>
    <row r="92" spans="1:4" x14ac:dyDescent="0.35">
      <c r="A92" s="14">
        <v>39568</v>
      </c>
      <c r="B92" s="15">
        <v>2008</v>
      </c>
      <c r="C92" s="16">
        <v>11.08</v>
      </c>
      <c r="D92" s="16">
        <v>5.73</v>
      </c>
    </row>
    <row r="93" spans="1:4" x14ac:dyDescent="0.35">
      <c r="A93" s="14">
        <v>39599</v>
      </c>
      <c r="B93" s="15">
        <v>2008</v>
      </c>
      <c r="C93" s="16">
        <v>10.81</v>
      </c>
      <c r="D93" s="16">
        <v>6.39</v>
      </c>
    </row>
    <row r="94" spans="1:4" x14ac:dyDescent="0.35">
      <c r="A94" s="14">
        <v>39629</v>
      </c>
      <c r="B94" s="15">
        <v>2008</v>
      </c>
      <c r="C94" s="16">
        <v>11.41</v>
      </c>
      <c r="D94" s="16">
        <v>7.18</v>
      </c>
    </row>
    <row r="95" spans="1:4" x14ac:dyDescent="0.35">
      <c r="A95" s="14">
        <v>39660</v>
      </c>
      <c r="B95" s="15">
        <v>2008</v>
      </c>
      <c r="C95" s="16">
        <v>12.21</v>
      </c>
      <c r="D95" s="16">
        <v>7.52</v>
      </c>
    </row>
    <row r="96" spans="1:4" x14ac:dyDescent="0.35">
      <c r="A96" s="14">
        <v>39691</v>
      </c>
      <c r="B96" s="15">
        <v>2008</v>
      </c>
      <c r="C96" s="16">
        <v>11.43</v>
      </c>
      <c r="D96" s="16">
        <v>7.87</v>
      </c>
    </row>
    <row r="97" spans="1:4" x14ac:dyDescent="0.35">
      <c r="A97" s="14">
        <v>39721</v>
      </c>
      <c r="B97" s="15">
        <v>2008</v>
      </c>
      <c r="C97" s="16">
        <v>11.05</v>
      </c>
      <c r="D97" s="16">
        <v>7.57</v>
      </c>
    </row>
    <row r="98" spans="1:4" x14ac:dyDescent="0.35">
      <c r="A98" s="14">
        <v>39752</v>
      </c>
      <c r="B98" s="15">
        <v>2008</v>
      </c>
      <c r="C98" s="16">
        <v>10.18</v>
      </c>
      <c r="D98" s="16">
        <v>7.94</v>
      </c>
    </row>
    <row r="99" spans="1:4" x14ac:dyDescent="0.35">
      <c r="A99" s="14">
        <v>39782</v>
      </c>
      <c r="B99" s="15">
        <v>2008</v>
      </c>
      <c r="C99" s="16">
        <v>10.91</v>
      </c>
      <c r="D99" s="16">
        <v>7.73</v>
      </c>
    </row>
    <row r="100" spans="1:4" x14ac:dyDescent="0.35">
      <c r="A100" s="14">
        <v>39813</v>
      </c>
      <c r="B100" s="15">
        <v>2008</v>
      </c>
      <c r="C100" s="16">
        <v>10.77</v>
      </c>
      <c r="D100" s="16">
        <v>7.67</v>
      </c>
    </row>
    <row r="101" spans="1:4" x14ac:dyDescent="0.35">
      <c r="A101" s="14">
        <v>39844</v>
      </c>
      <c r="B101" s="15">
        <v>2009</v>
      </c>
      <c r="C101" s="16">
        <v>14.47</v>
      </c>
      <c r="D101" s="16">
        <v>7.18</v>
      </c>
    </row>
    <row r="102" spans="1:4" x14ac:dyDescent="0.35">
      <c r="A102" s="14">
        <v>39872</v>
      </c>
      <c r="B102" s="15">
        <v>2009</v>
      </c>
      <c r="C102" s="16">
        <v>12.77</v>
      </c>
      <c r="D102" s="16">
        <v>6.47</v>
      </c>
    </row>
    <row r="103" spans="1:4" x14ac:dyDescent="0.35">
      <c r="A103" s="14">
        <v>39903</v>
      </c>
      <c r="B103" s="15">
        <v>2009</v>
      </c>
      <c r="C103" s="16">
        <v>12.19</v>
      </c>
      <c r="D103" s="16">
        <v>6.14</v>
      </c>
    </row>
    <row r="104" spans="1:4" x14ac:dyDescent="0.35">
      <c r="A104" s="14">
        <v>39933</v>
      </c>
      <c r="B104" s="15">
        <v>2009</v>
      </c>
      <c r="C104" s="16">
        <v>12.12</v>
      </c>
      <c r="D104" s="16">
        <v>5.73</v>
      </c>
    </row>
    <row r="105" spans="1:4" x14ac:dyDescent="0.35">
      <c r="A105" s="14">
        <v>39964</v>
      </c>
      <c r="B105" s="15">
        <v>2009</v>
      </c>
      <c r="C105" s="16">
        <v>11.76</v>
      </c>
      <c r="D105" s="16">
        <v>4.7699999999999996</v>
      </c>
    </row>
    <row r="106" spans="1:4" x14ac:dyDescent="0.35">
      <c r="A106" s="14">
        <v>39994</v>
      </c>
      <c r="B106" s="15">
        <v>2009</v>
      </c>
      <c r="C106" s="16">
        <v>11.6</v>
      </c>
      <c r="D106" s="16">
        <v>3.81</v>
      </c>
    </row>
    <row r="107" spans="1:4" x14ac:dyDescent="0.35">
      <c r="A107" s="14">
        <v>40025</v>
      </c>
      <c r="B107" s="15">
        <v>2009</v>
      </c>
      <c r="C107" s="16">
        <v>12.84</v>
      </c>
      <c r="D107" s="16">
        <v>3.28</v>
      </c>
    </row>
    <row r="108" spans="1:4" x14ac:dyDescent="0.35">
      <c r="A108" s="14">
        <v>40056</v>
      </c>
      <c r="B108" s="15">
        <v>2009</v>
      </c>
      <c r="C108" s="16">
        <v>11.94</v>
      </c>
      <c r="D108" s="16">
        <v>3.13</v>
      </c>
    </row>
    <row r="109" spans="1:4" x14ac:dyDescent="0.35">
      <c r="A109" s="14">
        <v>40086</v>
      </c>
      <c r="B109" s="15">
        <v>2009</v>
      </c>
      <c r="C109" s="16">
        <v>12.44</v>
      </c>
      <c r="D109" s="16">
        <v>3.21</v>
      </c>
    </row>
    <row r="110" spans="1:4" x14ac:dyDescent="0.35">
      <c r="A110" s="14">
        <v>40117</v>
      </c>
      <c r="B110" s="15">
        <v>2009</v>
      </c>
      <c r="C110" s="16">
        <v>11.76</v>
      </c>
      <c r="D110" s="16">
        <v>2.72</v>
      </c>
    </row>
    <row r="111" spans="1:4" x14ac:dyDescent="0.35">
      <c r="A111" s="14">
        <v>40147</v>
      </c>
      <c r="B111" s="15">
        <v>2009</v>
      </c>
      <c r="C111" s="16">
        <v>11.39</v>
      </c>
      <c r="D111" s="16">
        <v>2.37</v>
      </c>
    </row>
    <row r="112" spans="1:4" x14ac:dyDescent="0.35">
      <c r="A112" s="14">
        <v>40178</v>
      </c>
      <c r="B112" s="15">
        <v>2009</v>
      </c>
      <c r="C112" s="16">
        <v>11.31</v>
      </c>
      <c r="D112" s="16">
        <v>2</v>
      </c>
    </row>
    <row r="113" spans="1:4" x14ac:dyDescent="0.35">
      <c r="A113" s="14">
        <v>40209</v>
      </c>
      <c r="B113" s="15">
        <v>2010</v>
      </c>
      <c r="C113" s="16">
        <v>14.88</v>
      </c>
      <c r="D113" s="16">
        <v>2.1</v>
      </c>
    </row>
    <row r="114" spans="1:4" x14ac:dyDescent="0.35">
      <c r="A114" s="14">
        <v>40237</v>
      </c>
      <c r="B114" s="15">
        <v>2010</v>
      </c>
      <c r="C114" s="16">
        <v>12.69</v>
      </c>
      <c r="D114" s="16">
        <v>2.09</v>
      </c>
    </row>
    <row r="115" spans="1:4" x14ac:dyDescent="0.35">
      <c r="A115" s="14">
        <v>40268</v>
      </c>
      <c r="B115" s="15">
        <v>2010</v>
      </c>
      <c r="C115" s="16">
        <v>11.96</v>
      </c>
      <c r="D115" s="16">
        <v>1.84</v>
      </c>
    </row>
    <row r="116" spans="1:4" x14ac:dyDescent="0.35">
      <c r="A116" s="14">
        <v>40298</v>
      </c>
      <c r="B116" s="15">
        <v>2010</v>
      </c>
      <c r="C116" s="16">
        <v>12.44</v>
      </c>
      <c r="D116" s="16">
        <v>1.98</v>
      </c>
    </row>
    <row r="117" spans="1:4" x14ac:dyDescent="0.35">
      <c r="A117" s="14">
        <v>40329</v>
      </c>
      <c r="B117" s="15">
        <v>2010</v>
      </c>
      <c r="C117" s="16">
        <v>12.26</v>
      </c>
      <c r="D117" s="16">
        <v>2.0699999999999998</v>
      </c>
    </row>
    <row r="118" spans="1:4" x14ac:dyDescent="0.35">
      <c r="A118" s="14">
        <v>40359</v>
      </c>
      <c r="B118" s="15">
        <v>2010</v>
      </c>
      <c r="C118" s="16">
        <v>11.98</v>
      </c>
      <c r="D118" s="16">
        <v>2.25</v>
      </c>
    </row>
    <row r="119" spans="1:4" x14ac:dyDescent="0.35">
      <c r="A119" s="14">
        <v>40390</v>
      </c>
      <c r="B119" s="15">
        <v>2010</v>
      </c>
      <c r="C119" s="16">
        <v>12.86</v>
      </c>
      <c r="D119" s="16">
        <v>2.2400000000000002</v>
      </c>
    </row>
    <row r="120" spans="1:4" x14ac:dyDescent="0.35">
      <c r="A120" s="14">
        <v>40421</v>
      </c>
      <c r="B120" s="15">
        <v>2010</v>
      </c>
      <c r="C120" s="16">
        <v>11.38</v>
      </c>
      <c r="D120" s="16">
        <v>2.31</v>
      </c>
    </row>
    <row r="121" spans="1:4" x14ac:dyDescent="0.35">
      <c r="A121" s="14">
        <v>40451</v>
      </c>
      <c r="B121" s="15">
        <v>2010</v>
      </c>
      <c r="C121" s="16">
        <v>10.87</v>
      </c>
      <c r="D121" s="16">
        <v>2.2799999999999998</v>
      </c>
    </row>
    <row r="122" spans="1:4" x14ac:dyDescent="0.35">
      <c r="A122" s="14">
        <v>40482</v>
      </c>
      <c r="B122" s="15">
        <v>2010</v>
      </c>
      <c r="C122" s="16">
        <v>10.45</v>
      </c>
      <c r="D122" s="16">
        <v>2.33</v>
      </c>
    </row>
    <row r="123" spans="1:4" x14ac:dyDescent="0.35">
      <c r="A123" s="14">
        <v>40512</v>
      </c>
      <c r="B123" s="15">
        <v>2010</v>
      </c>
      <c r="C123" s="16">
        <v>10.93</v>
      </c>
      <c r="D123" s="16">
        <v>2.59</v>
      </c>
    </row>
    <row r="124" spans="1:4" x14ac:dyDescent="0.35">
      <c r="A124" s="14">
        <v>40543</v>
      </c>
      <c r="B124" s="15">
        <v>2010</v>
      </c>
      <c r="C124" s="16">
        <v>11.23</v>
      </c>
      <c r="D124" s="16">
        <v>3.17</v>
      </c>
    </row>
    <row r="125" spans="1:4" x14ac:dyDescent="0.35">
      <c r="A125" s="14">
        <v>40574</v>
      </c>
      <c r="B125" s="15">
        <v>2011</v>
      </c>
      <c r="C125" s="16">
        <v>13.9</v>
      </c>
      <c r="D125" s="16">
        <v>3.4</v>
      </c>
    </row>
    <row r="126" spans="1:4" x14ac:dyDescent="0.35">
      <c r="A126" s="14">
        <v>40602</v>
      </c>
      <c r="B126" s="15">
        <v>2011</v>
      </c>
      <c r="C126" s="16">
        <v>13.14</v>
      </c>
      <c r="D126" s="16">
        <v>3.17</v>
      </c>
    </row>
    <row r="127" spans="1:4" x14ac:dyDescent="0.35">
      <c r="A127" s="14">
        <v>40633</v>
      </c>
      <c r="B127" s="15">
        <v>2011</v>
      </c>
      <c r="C127" s="16">
        <v>10.95</v>
      </c>
      <c r="D127" s="16">
        <v>3.19</v>
      </c>
    </row>
    <row r="128" spans="1:4" x14ac:dyDescent="0.35">
      <c r="A128" s="14">
        <v>40663</v>
      </c>
      <c r="B128" s="15">
        <v>2011</v>
      </c>
      <c r="C128" s="16">
        <v>11.27</v>
      </c>
      <c r="D128" s="16">
        <v>2.84</v>
      </c>
    </row>
    <row r="129" spans="1:4" x14ac:dyDescent="0.35">
      <c r="A129" s="14">
        <v>40694</v>
      </c>
      <c r="B129" s="15">
        <v>2011</v>
      </c>
      <c r="C129" s="16">
        <v>11.55</v>
      </c>
      <c r="D129" s="16">
        <v>3.02</v>
      </c>
    </row>
    <row r="130" spans="1:4" x14ac:dyDescent="0.35">
      <c r="A130" s="14">
        <v>40724</v>
      </c>
      <c r="B130" s="15">
        <v>2011</v>
      </c>
      <c r="C130" s="16">
        <v>11.04</v>
      </c>
      <c r="D130" s="16">
        <v>3.23</v>
      </c>
    </row>
    <row r="131" spans="1:4" x14ac:dyDescent="0.35">
      <c r="A131" s="14">
        <v>40755</v>
      </c>
      <c r="B131" s="15">
        <v>2011</v>
      </c>
      <c r="C131" s="16">
        <v>11.7</v>
      </c>
      <c r="D131" s="16">
        <v>3.42</v>
      </c>
    </row>
    <row r="132" spans="1:4" x14ac:dyDescent="0.35">
      <c r="A132" s="14">
        <v>40786</v>
      </c>
      <c r="B132" s="15">
        <v>2011</v>
      </c>
      <c r="C132" s="16">
        <v>10.42</v>
      </c>
      <c r="D132" s="16">
        <v>3.27</v>
      </c>
    </row>
    <row r="133" spans="1:4" x14ac:dyDescent="0.35">
      <c r="A133" s="14">
        <v>40816</v>
      </c>
      <c r="B133" s="15">
        <v>2011</v>
      </c>
      <c r="C133" s="16">
        <v>9.93</v>
      </c>
      <c r="D133" s="16">
        <v>3.73</v>
      </c>
    </row>
    <row r="134" spans="1:4" x14ac:dyDescent="0.35">
      <c r="A134" s="14">
        <v>40847</v>
      </c>
      <c r="B134" s="15">
        <v>2011</v>
      </c>
      <c r="C134" s="16">
        <v>9.36</v>
      </c>
      <c r="D134" s="16">
        <v>4.0199999999999996</v>
      </c>
    </row>
    <row r="135" spans="1:4" x14ac:dyDescent="0.35">
      <c r="A135" s="14">
        <v>40877</v>
      </c>
      <c r="B135" s="15">
        <v>2011</v>
      </c>
      <c r="C135" s="16">
        <v>9.49</v>
      </c>
      <c r="D135" s="16">
        <v>3.96</v>
      </c>
    </row>
    <row r="136" spans="1:4" x14ac:dyDescent="0.35">
      <c r="A136" s="14">
        <v>40908</v>
      </c>
      <c r="B136" s="15">
        <v>2011</v>
      </c>
      <c r="C136" s="16">
        <v>10.07</v>
      </c>
      <c r="D136" s="16">
        <v>3.73</v>
      </c>
    </row>
    <row r="137" spans="1:4" x14ac:dyDescent="0.35">
      <c r="A137" s="14">
        <v>40939</v>
      </c>
      <c r="B137" s="15">
        <v>2012</v>
      </c>
      <c r="C137" s="16">
        <v>12.79</v>
      </c>
      <c r="D137" s="16">
        <v>3.54</v>
      </c>
    </row>
    <row r="138" spans="1:4" x14ac:dyDescent="0.35">
      <c r="A138" s="14">
        <v>40968</v>
      </c>
      <c r="B138" s="15">
        <v>2012</v>
      </c>
      <c r="C138" s="16">
        <v>12.07</v>
      </c>
      <c r="D138" s="16">
        <v>3.55</v>
      </c>
    </row>
    <row r="139" spans="1:4" x14ac:dyDescent="0.35">
      <c r="A139" s="14">
        <v>40999</v>
      </c>
      <c r="B139" s="15">
        <v>2012</v>
      </c>
      <c r="C139" s="16">
        <v>10.5</v>
      </c>
      <c r="D139" s="16">
        <v>3.4</v>
      </c>
    </row>
    <row r="140" spans="1:4" x14ac:dyDescent="0.35">
      <c r="A140" s="14">
        <v>41029</v>
      </c>
      <c r="B140" s="15">
        <v>2012</v>
      </c>
      <c r="C140" s="16">
        <v>11.09</v>
      </c>
      <c r="D140" s="16">
        <v>3.43</v>
      </c>
    </row>
    <row r="141" spans="1:4" x14ac:dyDescent="0.35">
      <c r="A141" s="14">
        <v>41060</v>
      </c>
      <c r="B141" s="15">
        <v>2012</v>
      </c>
      <c r="C141" s="16">
        <v>10.99</v>
      </c>
      <c r="D141" s="16">
        <v>3.44</v>
      </c>
    </row>
    <row r="142" spans="1:4" x14ac:dyDescent="0.35">
      <c r="A142" s="14">
        <v>41090</v>
      </c>
      <c r="B142" s="15">
        <v>2012</v>
      </c>
      <c r="C142" s="16">
        <v>10.24</v>
      </c>
      <c r="D142" s="16">
        <v>3.2</v>
      </c>
    </row>
    <row r="143" spans="1:4" x14ac:dyDescent="0.35">
      <c r="A143" s="14">
        <v>41121</v>
      </c>
      <c r="B143" s="15">
        <v>2012</v>
      </c>
      <c r="C143" s="16">
        <v>11.16</v>
      </c>
      <c r="D143" s="16">
        <v>3.03</v>
      </c>
    </row>
    <row r="144" spans="1:4" x14ac:dyDescent="0.35">
      <c r="A144" s="14">
        <v>41152</v>
      </c>
      <c r="B144" s="15">
        <v>2012</v>
      </c>
      <c r="C144" s="16">
        <v>9.99</v>
      </c>
      <c r="D144" s="16">
        <v>3.11</v>
      </c>
    </row>
    <row r="145" spans="1:4" x14ac:dyDescent="0.35">
      <c r="A145" s="14">
        <v>41182</v>
      </c>
      <c r="B145" s="15">
        <v>2012</v>
      </c>
      <c r="C145" s="16">
        <v>10.14</v>
      </c>
      <c r="D145" s="16">
        <v>3.08</v>
      </c>
    </row>
    <row r="146" spans="1:4" x14ac:dyDescent="0.35">
      <c r="A146" s="14">
        <v>41213</v>
      </c>
      <c r="B146" s="15">
        <v>2012</v>
      </c>
      <c r="C146" s="16">
        <v>9.17</v>
      </c>
      <c r="D146" s="16">
        <v>3.06</v>
      </c>
    </row>
    <row r="147" spans="1:4" x14ac:dyDescent="0.35">
      <c r="A147" s="14">
        <v>41243</v>
      </c>
      <c r="B147" s="15">
        <v>2012</v>
      </c>
      <c r="C147" s="16">
        <v>9.4600000000000009</v>
      </c>
      <c r="D147" s="16">
        <v>2.77</v>
      </c>
    </row>
    <row r="148" spans="1:4" x14ac:dyDescent="0.35">
      <c r="A148" s="14">
        <v>41274</v>
      </c>
      <c r="B148" s="15">
        <v>2012</v>
      </c>
      <c r="C148" s="16">
        <v>9.94</v>
      </c>
      <c r="D148" s="16">
        <v>2.44</v>
      </c>
    </row>
    <row r="149" spans="1:4" x14ac:dyDescent="0.35">
      <c r="A149" s="14">
        <v>41305</v>
      </c>
      <c r="B149" s="15">
        <v>2013</v>
      </c>
      <c r="C149" s="16">
        <v>12.34</v>
      </c>
      <c r="D149" s="16">
        <v>2</v>
      </c>
    </row>
    <row r="150" spans="1:4" x14ac:dyDescent="0.35">
      <c r="A150" s="14">
        <v>41333</v>
      </c>
      <c r="B150" s="15">
        <v>2013</v>
      </c>
      <c r="C150" s="16">
        <v>12.01</v>
      </c>
      <c r="D150" s="16">
        <v>1.83</v>
      </c>
    </row>
    <row r="151" spans="1:4" x14ac:dyDescent="0.35">
      <c r="A151" s="14">
        <v>41364</v>
      </c>
      <c r="B151" s="15">
        <v>2013</v>
      </c>
      <c r="C151" s="16">
        <v>10.38</v>
      </c>
      <c r="D151" s="16">
        <v>1.91</v>
      </c>
    </row>
    <row r="152" spans="1:4" x14ac:dyDescent="0.35">
      <c r="A152" s="14">
        <v>41394</v>
      </c>
      <c r="B152" s="15">
        <v>2013</v>
      </c>
      <c r="C152" s="16">
        <v>10.45</v>
      </c>
      <c r="D152" s="16">
        <v>2.02</v>
      </c>
    </row>
    <row r="153" spans="1:4" x14ac:dyDescent="0.35">
      <c r="A153" s="14">
        <v>41425</v>
      </c>
      <c r="B153" s="15">
        <v>2013</v>
      </c>
      <c r="C153" s="16">
        <v>9.82</v>
      </c>
      <c r="D153" s="16">
        <v>2</v>
      </c>
    </row>
    <row r="154" spans="1:4" x14ac:dyDescent="0.35">
      <c r="A154" s="14">
        <v>41455</v>
      </c>
      <c r="B154" s="15">
        <v>2013</v>
      </c>
      <c r="C154" s="16">
        <v>9.51</v>
      </c>
      <c r="D154" s="16">
        <v>2.16</v>
      </c>
    </row>
    <row r="155" spans="1:4" x14ac:dyDescent="0.35">
      <c r="A155" s="14">
        <v>41486</v>
      </c>
      <c r="B155" s="15">
        <v>2013</v>
      </c>
      <c r="C155" s="16">
        <v>10.16</v>
      </c>
      <c r="D155" s="16">
        <v>2.2200000000000002</v>
      </c>
    </row>
    <row r="156" spans="1:4" x14ac:dyDescent="0.35">
      <c r="A156" s="14">
        <v>41517</v>
      </c>
      <c r="B156" s="15">
        <v>2013</v>
      </c>
      <c r="C156" s="16">
        <v>9.66</v>
      </c>
      <c r="D156" s="16">
        <v>2.27</v>
      </c>
    </row>
    <row r="157" spans="1:4" x14ac:dyDescent="0.35">
      <c r="A157" s="14">
        <v>41547</v>
      </c>
      <c r="B157" s="15">
        <v>2013</v>
      </c>
      <c r="C157" s="16">
        <v>9.17</v>
      </c>
      <c r="D157" s="16">
        <v>2.27</v>
      </c>
    </row>
    <row r="158" spans="1:4" x14ac:dyDescent="0.35">
      <c r="A158" s="14">
        <v>41578</v>
      </c>
      <c r="B158" s="15">
        <v>2013</v>
      </c>
      <c r="C158" s="16">
        <v>8.1300000000000008</v>
      </c>
      <c r="D158" s="16">
        <v>1.84</v>
      </c>
    </row>
    <row r="159" spans="1:4" x14ac:dyDescent="0.35">
      <c r="A159" s="14">
        <v>41608</v>
      </c>
      <c r="B159" s="15">
        <v>2013</v>
      </c>
      <c r="C159" s="16">
        <v>8.6300000000000008</v>
      </c>
      <c r="D159" s="16">
        <v>1.76</v>
      </c>
    </row>
    <row r="160" spans="1:4" x14ac:dyDescent="0.35">
      <c r="A160" s="14">
        <v>41639</v>
      </c>
      <c r="B160" s="15">
        <v>2013</v>
      </c>
      <c r="C160" s="16">
        <v>8.65</v>
      </c>
      <c r="D160" s="16">
        <v>1.94</v>
      </c>
    </row>
    <row r="161" spans="1:4" x14ac:dyDescent="0.35">
      <c r="A161" s="14">
        <v>41670</v>
      </c>
      <c r="B161" s="15">
        <v>2014</v>
      </c>
      <c r="C161" s="16">
        <v>11.53</v>
      </c>
      <c r="D161" s="16">
        <v>2.13</v>
      </c>
    </row>
    <row r="162" spans="1:4" x14ac:dyDescent="0.35">
      <c r="A162" s="14">
        <v>41698</v>
      </c>
      <c r="B162" s="15">
        <v>2014</v>
      </c>
      <c r="C162" s="16">
        <v>11.09</v>
      </c>
      <c r="D162" s="16">
        <v>2.3199999999999998</v>
      </c>
    </row>
    <row r="163" spans="1:4" x14ac:dyDescent="0.35">
      <c r="A163" s="14">
        <v>41729</v>
      </c>
      <c r="B163" s="15">
        <v>2014</v>
      </c>
      <c r="C163" s="16">
        <v>9.84</v>
      </c>
      <c r="D163" s="16">
        <v>2.5099999999999998</v>
      </c>
    </row>
    <row r="164" spans="1:4" x14ac:dyDescent="0.35">
      <c r="A164" s="14">
        <v>41759</v>
      </c>
      <c r="B164" s="15">
        <v>2014</v>
      </c>
      <c r="C164" s="16">
        <v>9.31</v>
      </c>
      <c r="D164" s="16">
        <v>2.72</v>
      </c>
    </row>
    <row r="165" spans="1:4" x14ac:dyDescent="0.35">
      <c r="A165" s="14">
        <v>41790</v>
      </c>
      <c r="B165" s="15">
        <v>2014</v>
      </c>
      <c r="C165" s="16">
        <v>9.07</v>
      </c>
      <c r="D165" s="16">
        <v>2.93</v>
      </c>
    </row>
    <row r="166" spans="1:4" x14ac:dyDescent="0.35">
      <c r="A166" s="14">
        <v>41820</v>
      </c>
      <c r="B166" s="15">
        <v>2014</v>
      </c>
      <c r="C166" s="16">
        <v>9.4</v>
      </c>
      <c r="D166" s="16">
        <v>2.79</v>
      </c>
    </row>
    <row r="167" spans="1:4" x14ac:dyDescent="0.35">
      <c r="A167" s="14">
        <v>41851</v>
      </c>
      <c r="B167" s="15">
        <v>2014</v>
      </c>
      <c r="C167" s="16">
        <v>9.69</v>
      </c>
      <c r="D167" s="16">
        <v>2.89</v>
      </c>
    </row>
    <row r="168" spans="1:4" x14ac:dyDescent="0.35">
      <c r="A168" s="14">
        <v>41882</v>
      </c>
      <c r="B168" s="15">
        <v>2014</v>
      </c>
      <c r="C168" s="16">
        <v>9.16</v>
      </c>
      <c r="D168" s="16">
        <v>3.02</v>
      </c>
    </row>
    <row r="169" spans="1:4" x14ac:dyDescent="0.35">
      <c r="A169" s="14">
        <v>41912</v>
      </c>
      <c r="B169" s="15">
        <v>2014</v>
      </c>
      <c r="C169" s="16">
        <v>8.61</v>
      </c>
      <c r="D169" s="16">
        <v>2.86</v>
      </c>
    </row>
    <row r="170" spans="1:4" x14ac:dyDescent="0.35">
      <c r="A170" s="14">
        <v>41943</v>
      </c>
      <c r="B170" s="15">
        <v>2014</v>
      </c>
      <c r="C170" s="16">
        <v>8.1</v>
      </c>
      <c r="D170" s="16">
        <v>3.29</v>
      </c>
    </row>
    <row r="171" spans="1:4" x14ac:dyDescent="0.35">
      <c r="A171" s="14">
        <v>41973</v>
      </c>
      <c r="B171" s="15">
        <v>2014</v>
      </c>
      <c r="C171" s="16">
        <v>8.06</v>
      </c>
      <c r="D171" s="16">
        <v>3.65</v>
      </c>
    </row>
    <row r="172" spans="1:4" x14ac:dyDescent="0.35">
      <c r="A172" s="14">
        <v>42004</v>
      </c>
      <c r="B172" s="15">
        <v>2014</v>
      </c>
      <c r="C172" s="16">
        <v>9.0399999999999991</v>
      </c>
      <c r="D172" s="16">
        <v>3.66</v>
      </c>
    </row>
    <row r="173" spans="1:4" x14ac:dyDescent="0.35">
      <c r="A173" s="14">
        <v>42035</v>
      </c>
      <c r="B173" s="15">
        <v>2015</v>
      </c>
      <c r="C173" s="16">
        <v>11.15</v>
      </c>
      <c r="D173" s="16">
        <v>3.82</v>
      </c>
    </row>
    <row r="174" spans="1:4" x14ac:dyDescent="0.35">
      <c r="A174" s="14">
        <v>42063</v>
      </c>
      <c r="B174" s="15">
        <v>2015</v>
      </c>
      <c r="C174" s="16">
        <v>10.23</v>
      </c>
      <c r="D174" s="16">
        <v>4.3600000000000003</v>
      </c>
    </row>
    <row r="175" spans="1:4" x14ac:dyDescent="0.35">
      <c r="A175" s="14">
        <v>42094</v>
      </c>
      <c r="B175" s="15">
        <v>2015</v>
      </c>
      <c r="C175" s="16">
        <v>9.1199999999999992</v>
      </c>
      <c r="D175" s="16">
        <v>4.5599999999999996</v>
      </c>
    </row>
    <row r="176" spans="1:4" x14ac:dyDescent="0.35">
      <c r="A176" s="14">
        <v>42124</v>
      </c>
      <c r="B176" s="15">
        <v>2015</v>
      </c>
      <c r="C176" s="16">
        <v>9.74</v>
      </c>
      <c r="D176" s="16">
        <v>4.6399999999999997</v>
      </c>
    </row>
    <row r="177" spans="1:4" x14ac:dyDescent="0.35">
      <c r="A177" s="14">
        <v>42155</v>
      </c>
      <c r="B177" s="15">
        <v>2015</v>
      </c>
      <c r="C177" s="16">
        <v>9.2200000000000006</v>
      </c>
      <c r="D177" s="16">
        <v>4.41</v>
      </c>
    </row>
    <row r="178" spans="1:4" x14ac:dyDescent="0.35">
      <c r="A178" s="14">
        <v>42185</v>
      </c>
      <c r="B178" s="15">
        <v>2015</v>
      </c>
      <c r="C178" s="16">
        <v>8.5</v>
      </c>
      <c r="D178" s="16">
        <v>4.42</v>
      </c>
    </row>
    <row r="179" spans="1:4" x14ac:dyDescent="0.35">
      <c r="A179" s="14">
        <v>42216</v>
      </c>
      <c r="B179" s="15">
        <v>2015</v>
      </c>
      <c r="C179" s="16">
        <v>9.2200000000000006</v>
      </c>
      <c r="D179" s="16">
        <v>4.46</v>
      </c>
    </row>
    <row r="180" spans="1:4" x14ac:dyDescent="0.35">
      <c r="A180" s="14">
        <v>42247</v>
      </c>
      <c r="B180" s="15">
        <v>2015</v>
      </c>
      <c r="C180" s="16">
        <v>9.3000000000000007</v>
      </c>
      <c r="D180" s="16">
        <v>4.74</v>
      </c>
    </row>
    <row r="181" spans="1:4" x14ac:dyDescent="0.35">
      <c r="A181" s="14">
        <v>42277</v>
      </c>
      <c r="B181" s="15">
        <v>2015</v>
      </c>
      <c r="C181" s="16">
        <v>9.07</v>
      </c>
      <c r="D181" s="16">
        <v>5.35</v>
      </c>
    </row>
    <row r="182" spans="1:4" x14ac:dyDescent="0.35">
      <c r="A182" s="14">
        <v>42308</v>
      </c>
      <c r="B182" s="15">
        <v>2015</v>
      </c>
      <c r="C182" s="16">
        <v>8.44</v>
      </c>
      <c r="D182" s="16">
        <v>5.89</v>
      </c>
    </row>
    <row r="183" spans="1:4" x14ac:dyDescent="0.35">
      <c r="A183" s="14">
        <v>42338</v>
      </c>
      <c r="B183" s="15">
        <v>2015</v>
      </c>
      <c r="C183" s="16">
        <v>7.56</v>
      </c>
      <c r="D183" s="16">
        <v>6.39</v>
      </c>
    </row>
    <row r="184" spans="1:4" x14ac:dyDescent="0.35">
      <c r="A184" s="14">
        <v>42369</v>
      </c>
      <c r="B184" s="15">
        <v>2015</v>
      </c>
      <c r="C184" s="16">
        <v>8.82</v>
      </c>
      <c r="D184" s="16">
        <v>6.77</v>
      </c>
    </row>
    <row r="185" spans="1:4" x14ac:dyDescent="0.35">
      <c r="A185" s="14">
        <v>42400</v>
      </c>
      <c r="B185" s="15">
        <v>2016</v>
      </c>
      <c r="C185" s="16">
        <v>12.18</v>
      </c>
      <c r="D185" s="16">
        <v>7.45</v>
      </c>
    </row>
    <row r="186" spans="1:4" x14ac:dyDescent="0.35">
      <c r="A186" s="14">
        <v>42429</v>
      </c>
      <c r="B186" s="15">
        <v>2016</v>
      </c>
      <c r="C186" s="16">
        <v>10.37</v>
      </c>
      <c r="D186" s="16">
        <v>7.59</v>
      </c>
    </row>
    <row r="187" spans="1:4" x14ac:dyDescent="0.35">
      <c r="A187" s="14">
        <v>42460</v>
      </c>
      <c r="B187" s="15">
        <v>2016</v>
      </c>
      <c r="C187" s="16">
        <v>10.46</v>
      </c>
      <c r="D187" s="16">
        <v>7.98</v>
      </c>
    </row>
    <row r="188" spans="1:4" x14ac:dyDescent="0.35">
      <c r="A188" s="14">
        <v>42490</v>
      </c>
      <c r="B188" s="15">
        <v>2016</v>
      </c>
      <c r="C188" s="16">
        <v>9.32</v>
      </c>
      <c r="D188" s="16">
        <v>7.93</v>
      </c>
    </row>
    <row r="189" spans="1:4" x14ac:dyDescent="0.35">
      <c r="A189" s="14">
        <v>42521</v>
      </c>
      <c r="B189" s="15">
        <v>2016</v>
      </c>
      <c r="C189" s="16">
        <v>9.24</v>
      </c>
      <c r="D189" s="16">
        <v>8.1999999999999993</v>
      </c>
    </row>
    <row r="190" spans="1:4" x14ac:dyDescent="0.35">
      <c r="A190" s="14">
        <v>42551</v>
      </c>
      <c r="B190" s="15">
        <v>2016</v>
      </c>
      <c r="C190" s="16">
        <v>9.19</v>
      </c>
      <c r="D190" s="16">
        <v>8.6</v>
      </c>
    </row>
    <row r="191" spans="1:4" x14ac:dyDescent="0.35">
      <c r="A191" s="14">
        <v>42582</v>
      </c>
      <c r="B191" s="15">
        <v>2016</v>
      </c>
      <c r="C191" s="16">
        <v>10.199999999999999</v>
      </c>
      <c r="D191" s="16">
        <v>8.9700000000000006</v>
      </c>
    </row>
    <row r="192" spans="1:4" x14ac:dyDescent="0.35">
      <c r="A192" s="14">
        <v>42613</v>
      </c>
      <c r="B192" s="15">
        <v>2016</v>
      </c>
      <c r="C192" s="16">
        <v>9.23</v>
      </c>
      <c r="D192" s="16">
        <v>8.1</v>
      </c>
    </row>
    <row r="193" spans="1:4" x14ac:dyDescent="0.35">
      <c r="A193" s="14">
        <v>42643</v>
      </c>
      <c r="B193" s="15">
        <v>2016</v>
      </c>
      <c r="C193" s="16">
        <v>8.85</v>
      </c>
      <c r="D193" s="16">
        <v>7.27</v>
      </c>
    </row>
    <row r="194" spans="1:4" x14ac:dyDescent="0.35">
      <c r="A194" s="14">
        <v>42674</v>
      </c>
      <c r="B194" s="15">
        <v>2016</v>
      </c>
      <c r="C194" s="16">
        <v>8.6300000000000008</v>
      </c>
      <c r="D194" s="16">
        <v>6.48</v>
      </c>
    </row>
    <row r="195" spans="1:4" x14ac:dyDescent="0.35">
      <c r="A195" s="14">
        <v>42704</v>
      </c>
      <c r="B195" s="15">
        <v>2016</v>
      </c>
      <c r="C195" s="16">
        <v>7.77</v>
      </c>
      <c r="D195" s="16">
        <v>5.96</v>
      </c>
    </row>
    <row r="196" spans="1:4" x14ac:dyDescent="0.35">
      <c r="A196" s="14">
        <v>42735</v>
      </c>
      <c r="B196" s="15">
        <v>2016</v>
      </c>
      <c r="C196" s="16">
        <v>9.1</v>
      </c>
      <c r="D196" s="16">
        <v>5.75</v>
      </c>
    </row>
    <row r="197" spans="1:4" x14ac:dyDescent="0.35">
      <c r="A197" s="14">
        <v>42766</v>
      </c>
      <c r="B197" s="15">
        <v>2017</v>
      </c>
      <c r="C197" s="16">
        <v>11.96</v>
      </c>
      <c r="D197" s="16">
        <v>5.47</v>
      </c>
    </row>
    <row r="198" spans="1:4" x14ac:dyDescent="0.35">
      <c r="A198" s="14">
        <v>42794</v>
      </c>
      <c r="B198" s="15">
        <v>2017</v>
      </c>
      <c r="C198" s="16">
        <v>10.87</v>
      </c>
      <c r="D198" s="16">
        <v>5.18</v>
      </c>
    </row>
    <row r="199" spans="1:4" x14ac:dyDescent="0.35">
      <c r="A199" s="14">
        <v>42825</v>
      </c>
      <c r="B199" s="15">
        <v>2017</v>
      </c>
      <c r="C199" s="16">
        <v>9.9</v>
      </c>
      <c r="D199" s="16">
        <v>4.6900000000000004</v>
      </c>
    </row>
    <row r="200" spans="1:4" x14ac:dyDescent="0.35">
      <c r="A200" s="14">
        <v>42855</v>
      </c>
      <c r="B200" s="15">
        <v>2017</v>
      </c>
      <c r="C200" s="16">
        <v>9.14</v>
      </c>
      <c r="D200" s="16">
        <v>4.66</v>
      </c>
    </row>
    <row r="201" spans="1:4" x14ac:dyDescent="0.35">
      <c r="A201" s="14">
        <v>42886</v>
      </c>
      <c r="B201" s="15">
        <v>2017</v>
      </c>
      <c r="C201" s="16">
        <v>9.84</v>
      </c>
      <c r="D201" s="16">
        <v>4.37</v>
      </c>
    </row>
    <row r="202" spans="1:4" x14ac:dyDescent="0.35">
      <c r="A202" s="14">
        <v>42916</v>
      </c>
      <c r="B202" s="15">
        <v>2017</v>
      </c>
      <c r="C202" s="16">
        <v>8.98</v>
      </c>
      <c r="D202" s="16">
        <v>3.99</v>
      </c>
    </row>
    <row r="203" spans="1:4" x14ac:dyDescent="0.35">
      <c r="A203" s="14">
        <v>42947</v>
      </c>
      <c r="B203" s="15">
        <v>2017</v>
      </c>
      <c r="C203" s="16">
        <v>9.94</v>
      </c>
      <c r="D203" s="16">
        <v>3.4</v>
      </c>
    </row>
    <row r="204" spans="1:4" x14ac:dyDescent="0.35">
      <c r="A204" s="14">
        <v>42978</v>
      </c>
      <c r="B204" s="15">
        <v>2017</v>
      </c>
      <c r="C204" s="16">
        <v>9.52</v>
      </c>
      <c r="D204" s="16">
        <v>3.87</v>
      </c>
    </row>
    <row r="205" spans="1:4" x14ac:dyDescent="0.35">
      <c r="A205" s="14">
        <v>43008</v>
      </c>
      <c r="B205" s="15">
        <v>2017</v>
      </c>
      <c r="C205" s="16">
        <v>9.5500000000000007</v>
      </c>
      <c r="D205" s="16">
        <v>3.97</v>
      </c>
    </row>
    <row r="206" spans="1:4" x14ac:dyDescent="0.35">
      <c r="A206" s="14">
        <v>43039</v>
      </c>
      <c r="B206" s="15">
        <v>2017</v>
      </c>
      <c r="C206" s="16">
        <v>8.74</v>
      </c>
      <c r="D206" s="16">
        <v>4.05</v>
      </c>
    </row>
    <row r="207" spans="1:4" x14ac:dyDescent="0.35">
      <c r="A207" s="14">
        <v>43069</v>
      </c>
      <c r="B207" s="15">
        <v>2017</v>
      </c>
      <c r="C207" s="16">
        <v>8.76</v>
      </c>
      <c r="D207" s="16">
        <v>4.12</v>
      </c>
    </row>
    <row r="208" spans="1:4" x14ac:dyDescent="0.35">
      <c r="A208" s="14">
        <v>43100</v>
      </c>
      <c r="B208" s="15">
        <v>2017</v>
      </c>
      <c r="C208" s="16">
        <v>8.91</v>
      </c>
      <c r="D208" s="16">
        <v>4.09</v>
      </c>
    </row>
    <row r="209" spans="1:4" x14ac:dyDescent="0.35">
      <c r="A209" s="14">
        <v>43131</v>
      </c>
      <c r="B209" s="15">
        <v>2018</v>
      </c>
      <c r="C209" s="16">
        <v>12.14</v>
      </c>
      <c r="D209" s="16">
        <v>3.68</v>
      </c>
    </row>
    <row r="210" spans="1:4" x14ac:dyDescent="0.35">
      <c r="A210" s="14">
        <v>43159</v>
      </c>
      <c r="B210" s="15">
        <v>2018</v>
      </c>
      <c r="C210" s="16">
        <v>11.19</v>
      </c>
      <c r="D210" s="16">
        <v>3.37</v>
      </c>
    </row>
    <row r="211" spans="1:4" x14ac:dyDescent="0.35">
      <c r="A211" s="14">
        <v>43190</v>
      </c>
      <c r="B211" s="15">
        <v>2018</v>
      </c>
      <c r="C211" s="16">
        <v>9.77</v>
      </c>
      <c r="D211" s="16">
        <v>3.14</v>
      </c>
    </row>
    <row r="212" spans="1:4" x14ac:dyDescent="0.35">
      <c r="A212" s="14">
        <v>43220</v>
      </c>
      <c r="B212" s="15">
        <v>2018</v>
      </c>
      <c r="C212" s="16">
        <v>9.73</v>
      </c>
      <c r="D212" s="16">
        <v>3.13</v>
      </c>
    </row>
    <row r="213" spans="1:4" x14ac:dyDescent="0.35">
      <c r="A213" s="14">
        <v>43251</v>
      </c>
      <c r="B213" s="15">
        <v>2018</v>
      </c>
      <c r="C213" s="16">
        <v>9.98</v>
      </c>
      <c r="D213" s="16">
        <v>3.16</v>
      </c>
    </row>
    <row r="214" spans="1:4" x14ac:dyDescent="0.35">
      <c r="A214" s="14">
        <v>43281</v>
      </c>
      <c r="B214" s="15">
        <v>2018</v>
      </c>
      <c r="C214" s="16">
        <v>9.31</v>
      </c>
      <c r="D214" s="16">
        <v>3.2</v>
      </c>
    </row>
    <row r="215" spans="1:4" x14ac:dyDescent="0.35">
      <c r="A215" s="14">
        <v>43312</v>
      </c>
      <c r="B215" s="15">
        <v>2018</v>
      </c>
      <c r="C215" s="16">
        <v>10.039999999999999</v>
      </c>
      <c r="D215" s="16">
        <v>3.12</v>
      </c>
    </row>
    <row r="216" spans="1:4" x14ac:dyDescent="0.35">
      <c r="A216" s="14">
        <v>43343</v>
      </c>
      <c r="B216" s="15">
        <v>2018</v>
      </c>
      <c r="C216" s="16">
        <v>9.43</v>
      </c>
      <c r="D216" s="16">
        <v>3.1</v>
      </c>
    </row>
    <row r="217" spans="1:4" x14ac:dyDescent="0.35">
      <c r="A217" s="14">
        <v>43373</v>
      </c>
      <c r="B217" s="15">
        <v>2018</v>
      </c>
      <c r="C217" s="16">
        <v>9.67</v>
      </c>
      <c r="D217" s="16">
        <v>3.23</v>
      </c>
    </row>
    <row r="218" spans="1:4" x14ac:dyDescent="0.35">
      <c r="A218" s="14">
        <v>43404</v>
      </c>
      <c r="B218" s="15">
        <v>2018</v>
      </c>
      <c r="C218" s="16">
        <v>9.36</v>
      </c>
      <c r="D218" s="16">
        <v>3.33</v>
      </c>
    </row>
    <row r="219" spans="1:4" x14ac:dyDescent="0.35">
      <c r="A219" s="14">
        <v>43434</v>
      </c>
      <c r="B219" s="15">
        <v>2018</v>
      </c>
      <c r="C219" s="16">
        <v>8.99</v>
      </c>
      <c r="D219" s="16">
        <v>3.27</v>
      </c>
    </row>
    <row r="220" spans="1:4" x14ac:dyDescent="0.35">
      <c r="A220" s="14">
        <v>43465</v>
      </c>
      <c r="B220" s="15">
        <v>2018</v>
      </c>
      <c r="C220" s="16">
        <v>9.99</v>
      </c>
      <c r="D220" s="16">
        <v>3.18</v>
      </c>
    </row>
    <row r="221" spans="1:4" x14ac:dyDescent="0.35">
      <c r="A221" s="14">
        <v>43496</v>
      </c>
      <c r="B221" s="15">
        <v>2019</v>
      </c>
      <c r="C221" s="16">
        <v>13.08</v>
      </c>
      <c r="D221" s="16">
        <v>3.15</v>
      </c>
    </row>
    <row r="222" spans="1:4" x14ac:dyDescent="0.35">
      <c r="A222" s="14">
        <v>43524</v>
      </c>
      <c r="B222" s="15">
        <v>2019</v>
      </c>
      <c r="C222" s="16">
        <v>12.09</v>
      </c>
      <c r="D222" s="16">
        <v>3.01</v>
      </c>
    </row>
    <row r="223" spans="1:4" x14ac:dyDescent="0.35">
      <c r="A223" s="14">
        <v>43555</v>
      </c>
      <c r="B223" s="15">
        <v>2019</v>
      </c>
      <c r="C223" s="16">
        <v>11.18</v>
      </c>
      <c r="D223" s="16">
        <v>3.21</v>
      </c>
    </row>
    <row r="224" spans="1:4" x14ac:dyDescent="0.35">
      <c r="A224" s="14">
        <v>43585</v>
      </c>
      <c r="B224" s="15">
        <v>2019</v>
      </c>
      <c r="C224" s="16">
        <v>10.66</v>
      </c>
      <c r="D224" s="16">
        <v>3.25</v>
      </c>
    </row>
    <row r="225" spans="1:4" x14ac:dyDescent="0.35">
      <c r="A225" s="14">
        <v>43616</v>
      </c>
      <c r="B225" s="15">
        <v>2019</v>
      </c>
      <c r="C225" s="16">
        <v>10.95</v>
      </c>
      <c r="D225" s="16">
        <v>3.31</v>
      </c>
    </row>
    <row r="226" spans="1:4" x14ac:dyDescent="0.35">
      <c r="A226" s="14">
        <v>43646</v>
      </c>
      <c r="B226" s="15">
        <v>2019</v>
      </c>
      <c r="C226" s="16">
        <v>9.7200000000000006</v>
      </c>
      <c r="D226" s="16">
        <v>3.43</v>
      </c>
    </row>
    <row r="227" spans="1:4" x14ac:dyDescent="0.35">
      <c r="A227" s="14">
        <v>43677</v>
      </c>
      <c r="B227" s="15">
        <v>2019</v>
      </c>
      <c r="C227" s="16">
        <v>11.28</v>
      </c>
      <c r="D227" s="16">
        <v>3.79</v>
      </c>
    </row>
    <row r="228" spans="1:4" x14ac:dyDescent="0.35">
      <c r="A228" s="14">
        <v>43708</v>
      </c>
      <c r="B228" s="15">
        <v>2019</v>
      </c>
      <c r="C228" s="16">
        <v>11.2</v>
      </c>
      <c r="D228" s="16">
        <v>3.75</v>
      </c>
    </row>
    <row r="229" spans="1:4" x14ac:dyDescent="0.35">
      <c r="A229" s="14">
        <v>43738</v>
      </c>
      <c r="B229" s="15">
        <v>2019</v>
      </c>
      <c r="C229" s="16">
        <v>10.8</v>
      </c>
      <c r="D229" s="16">
        <v>3.82</v>
      </c>
    </row>
    <row r="230" spans="1:4" x14ac:dyDescent="0.35">
      <c r="A230" s="14">
        <v>43769</v>
      </c>
      <c r="B230" s="15">
        <v>2019</v>
      </c>
      <c r="C230" s="16">
        <v>10.119999999999999</v>
      </c>
      <c r="D230" s="16">
        <v>3.86</v>
      </c>
    </row>
    <row r="231" spans="1:4" x14ac:dyDescent="0.35">
      <c r="A231" s="14">
        <v>43799</v>
      </c>
      <c r="B231" s="15">
        <v>2019</v>
      </c>
      <c r="C231" s="16">
        <v>9.6199999999999992</v>
      </c>
      <c r="D231" s="16">
        <v>3.84</v>
      </c>
    </row>
    <row r="232" spans="1:4" x14ac:dyDescent="0.35">
      <c r="A232" s="14">
        <v>43830</v>
      </c>
      <c r="B232" s="15">
        <v>2019</v>
      </c>
      <c r="C232" s="16">
        <v>9.9499999999999993</v>
      </c>
      <c r="D232" s="16">
        <v>3.8</v>
      </c>
    </row>
    <row r="233" spans="1:4" x14ac:dyDescent="0.35">
      <c r="A233" s="14">
        <v>43861</v>
      </c>
      <c r="B233" s="15">
        <v>2020</v>
      </c>
      <c r="C233" s="16">
        <v>13.46</v>
      </c>
      <c r="D233" s="16">
        <v>3.62</v>
      </c>
    </row>
    <row r="234" spans="1:4" x14ac:dyDescent="0.35">
      <c r="A234" s="14">
        <v>43890</v>
      </c>
      <c r="B234" s="15">
        <v>2020</v>
      </c>
      <c r="C234" s="16">
        <v>12.81</v>
      </c>
      <c r="D234" s="16">
        <v>3.72</v>
      </c>
    </row>
    <row r="235" spans="1:4" x14ac:dyDescent="0.35">
      <c r="A235" s="14">
        <v>43921</v>
      </c>
      <c r="B235" s="15">
        <v>2020</v>
      </c>
      <c r="C235" s="16">
        <v>13.18</v>
      </c>
      <c r="D235" s="16">
        <v>3.86</v>
      </c>
    </row>
    <row r="236" spans="1:4" x14ac:dyDescent="0.35">
      <c r="A236" s="14">
        <v>43951</v>
      </c>
      <c r="B236" s="15">
        <v>2020</v>
      </c>
      <c r="C236" s="16">
        <v>20.49</v>
      </c>
      <c r="D236" s="16">
        <v>3.51</v>
      </c>
    </row>
    <row r="237" spans="1:4" x14ac:dyDescent="0.35">
      <c r="A237" s="14">
        <v>43982</v>
      </c>
      <c r="B237" s="15">
        <v>2020</v>
      </c>
      <c r="C237" s="16">
        <v>21.97</v>
      </c>
      <c r="D237" s="16">
        <v>2.85</v>
      </c>
    </row>
    <row r="238" spans="1:4" x14ac:dyDescent="0.35">
      <c r="A238" s="14">
        <v>44012</v>
      </c>
      <c r="B238" s="15">
        <v>2020</v>
      </c>
      <c r="C238" s="16">
        <v>20.36</v>
      </c>
      <c r="D238" s="16">
        <v>2.19</v>
      </c>
    </row>
    <row r="239" spans="1:4" x14ac:dyDescent="0.35">
      <c r="A239" s="14">
        <v>44043</v>
      </c>
      <c r="B239" s="15">
        <v>2020</v>
      </c>
      <c r="C239" s="16">
        <v>20.91</v>
      </c>
      <c r="D239" s="16">
        <v>1.97</v>
      </c>
    </row>
    <row r="240" spans="1:4" x14ac:dyDescent="0.35">
      <c r="A240" s="14">
        <v>44074</v>
      </c>
      <c r="B240" s="15">
        <v>2020</v>
      </c>
      <c r="C240" s="16">
        <v>17.440000000000001</v>
      </c>
      <c r="D240" s="16">
        <v>1.88</v>
      </c>
    </row>
    <row r="241" spans="1:4" x14ac:dyDescent="0.35">
      <c r="A241" s="14">
        <v>44104</v>
      </c>
      <c r="B241" s="15">
        <v>2020</v>
      </c>
      <c r="C241" s="16">
        <v>16.29</v>
      </c>
      <c r="D241" s="16">
        <v>1.97</v>
      </c>
    </row>
    <row r="242" spans="1:4" x14ac:dyDescent="0.35">
      <c r="A242" s="14">
        <v>44135</v>
      </c>
      <c r="B242" s="15">
        <v>2020</v>
      </c>
      <c r="C242" s="16">
        <v>15.28</v>
      </c>
      <c r="D242" s="16">
        <v>1.75</v>
      </c>
    </row>
    <row r="243" spans="1:4" x14ac:dyDescent="0.35">
      <c r="A243" s="14">
        <v>44165</v>
      </c>
      <c r="B243" s="15">
        <v>2020</v>
      </c>
      <c r="C243" s="16">
        <v>13.91</v>
      </c>
      <c r="D243" s="16">
        <v>1.49</v>
      </c>
    </row>
    <row r="244" spans="1:4" x14ac:dyDescent="0.35">
      <c r="A244" s="14">
        <v>44196</v>
      </c>
      <c r="B244" s="15">
        <v>2020</v>
      </c>
      <c r="C244" s="16">
        <v>13.91</v>
      </c>
      <c r="D244" s="16">
        <v>1.61</v>
      </c>
    </row>
    <row r="245" spans="1:4" x14ac:dyDescent="0.35">
      <c r="A245" s="14">
        <v>44227</v>
      </c>
      <c r="B245" s="15">
        <v>2021</v>
      </c>
      <c r="C245" s="16">
        <v>17.559999999999999</v>
      </c>
      <c r="D245" s="16">
        <v>1.6</v>
      </c>
    </row>
    <row r="246" spans="1:4" x14ac:dyDescent="0.35">
      <c r="A246" s="14">
        <v>44255</v>
      </c>
      <c r="B246" s="15">
        <v>2021</v>
      </c>
      <c r="C246" s="16">
        <v>15.59</v>
      </c>
      <c r="D246" s="16">
        <v>1.56</v>
      </c>
    </row>
    <row r="247" spans="1:4" x14ac:dyDescent="0.35">
      <c r="A247" s="14">
        <v>44286</v>
      </c>
      <c r="B247" s="15">
        <v>2021</v>
      </c>
      <c r="C247" s="16">
        <v>14.73</v>
      </c>
      <c r="D247" s="16">
        <v>1.51</v>
      </c>
    </row>
    <row r="248" spans="1:4" x14ac:dyDescent="0.35">
      <c r="A248" s="14">
        <v>44316</v>
      </c>
      <c r="B248" s="15">
        <v>2021</v>
      </c>
      <c r="C248" s="16">
        <v>15.49</v>
      </c>
      <c r="D248" s="16">
        <v>1.95</v>
      </c>
    </row>
    <row r="249" spans="1:4" x14ac:dyDescent="0.35">
      <c r="A249" s="14">
        <v>44347</v>
      </c>
      <c r="B249" s="15">
        <v>2021</v>
      </c>
      <c r="C249" s="16">
        <v>15.2</v>
      </c>
      <c r="D249" s="16">
        <v>3.3</v>
      </c>
    </row>
    <row r="250" spans="1:4" x14ac:dyDescent="0.35">
      <c r="A250" s="14">
        <v>44377</v>
      </c>
      <c r="B250" s="15">
        <v>2021</v>
      </c>
      <c r="C250" s="16">
        <v>14.65</v>
      </c>
      <c r="D250" s="16">
        <v>3.63</v>
      </c>
    </row>
    <row r="251" spans="1:4" x14ac:dyDescent="0.35">
      <c r="A251" s="14">
        <v>44408</v>
      </c>
      <c r="B251" s="15">
        <v>2021</v>
      </c>
      <c r="C251" s="16">
        <v>13.06</v>
      </c>
      <c r="D251" s="16">
        <v>3.97</v>
      </c>
    </row>
    <row r="252" spans="1:4" x14ac:dyDescent="0.35">
      <c r="A252" s="14">
        <v>44439</v>
      </c>
      <c r="B252" s="15">
        <v>2021</v>
      </c>
      <c r="C252" s="16">
        <v>12.86</v>
      </c>
      <c r="D252" s="16">
        <v>4.4400000000000004</v>
      </c>
    </row>
    <row r="253" spans="1:4" x14ac:dyDescent="0.35">
      <c r="A253" s="14">
        <v>44469</v>
      </c>
      <c r="B253" s="15">
        <v>2021</v>
      </c>
      <c r="C253" s="16">
        <v>11.96</v>
      </c>
      <c r="D253" s="16">
        <v>4.51</v>
      </c>
    </row>
    <row r="254" spans="1:4" x14ac:dyDescent="0.35">
      <c r="A254" s="14">
        <v>44500</v>
      </c>
      <c r="B254" s="15">
        <v>2021</v>
      </c>
      <c r="C254" s="16">
        <v>12</v>
      </c>
      <c r="D254" s="16">
        <v>4.58</v>
      </c>
    </row>
    <row r="255" spans="1:4" x14ac:dyDescent="0.35">
      <c r="A255" s="14">
        <v>44530</v>
      </c>
      <c r="B255" s="15">
        <v>2021</v>
      </c>
      <c r="C255" s="16">
        <v>11.53</v>
      </c>
      <c r="D255" s="16">
        <v>5.26</v>
      </c>
    </row>
    <row r="256" spans="1:4" x14ac:dyDescent="0.35">
      <c r="A256" s="14">
        <v>44561</v>
      </c>
      <c r="B256" s="15">
        <v>2021</v>
      </c>
      <c r="C256" s="16">
        <v>11.1</v>
      </c>
      <c r="D256" s="16">
        <v>5.62</v>
      </c>
    </row>
    <row r="257" spans="1:4" x14ac:dyDescent="0.35">
      <c r="A257" s="14">
        <v>44592</v>
      </c>
      <c r="B257" s="15">
        <v>2022</v>
      </c>
      <c r="C257" s="16">
        <v>14.65</v>
      </c>
      <c r="D257" s="16">
        <v>6.94</v>
      </c>
    </row>
    <row r="258" spans="1:4" x14ac:dyDescent="0.35">
      <c r="A258" s="14">
        <v>44620</v>
      </c>
      <c r="B258" s="15">
        <v>2022</v>
      </c>
      <c r="C258" s="16">
        <v>12.91</v>
      </c>
      <c r="D258" s="16">
        <v>8.01</v>
      </c>
    </row>
    <row r="259" spans="1:4" x14ac:dyDescent="0.35">
      <c r="A259" s="14">
        <v>44651</v>
      </c>
      <c r="B259" s="15">
        <v>2022</v>
      </c>
      <c r="C259" s="16">
        <v>12.12</v>
      </c>
      <c r="D259" s="16">
        <v>8.5299999999999994</v>
      </c>
    </row>
    <row r="260" spans="1:4" x14ac:dyDescent="0.35">
      <c r="A260" s="14">
        <v>44681</v>
      </c>
      <c r="B260" s="15">
        <v>2022</v>
      </c>
      <c r="C260" s="16">
        <v>11.17</v>
      </c>
      <c r="D260" s="16">
        <v>9.23</v>
      </c>
    </row>
    <row r="261" spans="1:4" x14ac:dyDescent="0.35">
      <c r="A261" s="14">
        <v>44712</v>
      </c>
      <c r="B261" s="15">
        <v>2022</v>
      </c>
      <c r="C261" s="16">
        <v>10.65</v>
      </c>
      <c r="D261" s="16">
        <v>9.07</v>
      </c>
    </row>
    <row r="262" spans="1:4" x14ac:dyDescent="0.35">
      <c r="A262" s="14">
        <v>44742</v>
      </c>
      <c r="B262" s="15">
        <v>2022</v>
      </c>
      <c r="C262" s="16">
        <v>11.26</v>
      </c>
      <c r="D262" s="16">
        <v>9.67</v>
      </c>
    </row>
    <row r="263" spans="1:4" x14ac:dyDescent="0.35">
      <c r="A263" s="14">
        <v>44773</v>
      </c>
      <c r="B263" s="15">
        <v>2022</v>
      </c>
      <c r="C263" s="16">
        <v>10.99</v>
      </c>
      <c r="D263" s="16">
        <v>10.210000000000001</v>
      </c>
    </row>
    <row r="264" spans="1:4" x14ac:dyDescent="0.35">
      <c r="A264" s="14">
        <v>44804</v>
      </c>
      <c r="B264" s="15">
        <v>2022</v>
      </c>
      <c r="C264" s="16">
        <v>10.63</v>
      </c>
      <c r="D264" s="16">
        <v>10.84</v>
      </c>
    </row>
    <row r="265" spans="1:4" x14ac:dyDescent="0.35">
      <c r="A265" s="14">
        <v>44834</v>
      </c>
      <c r="B265" s="15">
        <v>2022</v>
      </c>
      <c r="C265" s="16">
        <v>10.75</v>
      </c>
      <c r="D265" s="16">
        <v>11.44</v>
      </c>
    </row>
    <row r="266" spans="1:4" x14ac:dyDescent="0.35">
      <c r="A266" s="14">
        <v>44865</v>
      </c>
      <c r="B266" s="15">
        <v>2022</v>
      </c>
      <c r="C266" s="16">
        <v>9.7200000000000006</v>
      </c>
      <c r="D266" s="16">
        <v>12.22</v>
      </c>
    </row>
    <row r="267" spans="1:4" x14ac:dyDescent="0.35">
      <c r="A267" s="14">
        <v>44895</v>
      </c>
      <c r="B267" s="15">
        <v>2022</v>
      </c>
      <c r="C267" s="16">
        <v>9.5</v>
      </c>
      <c r="D267" s="16">
        <v>12.53</v>
      </c>
    </row>
    <row r="268" spans="1:4" x14ac:dyDescent="0.35">
      <c r="A268" s="14">
        <v>44926</v>
      </c>
      <c r="B268" s="15">
        <v>2022</v>
      </c>
      <c r="C268" s="16">
        <v>10.27</v>
      </c>
      <c r="D268" s="16">
        <v>13.12</v>
      </c>
    </row>
    <row r="269" spans="1:4" x14ac:dyDescent="0.35">
      <c r="A269" s="14">
        <v>44957</v>
      </c>
      <c r="B269" s="15">
        <v>2023</v>
      </c>
      <c r="C269" s="16">
        <v>13.7</v>
      </c>
      <c r="D269" s="16">
        <v>13.25</v>
      </c>
    </row>
    <row r="270" spans="1:4" x14ac:dyDescent="0.35">
      <c r="A270" s="14">
        <v>44985</v>
      </c>
      <c r="B270" s="15">
        <v>2023</v>
      </c>
      <c r="C270" s="16">
        <v>11.35</v>
      </c>
      <c r="D270" s="16">
        <v>13.28</v>
      </c>
    </row>
    <row r="271" spans="1:4" x14ac:dyDescent="0.35">
      <c r="A271" s="14">
        <v>45016</v>
      </c>
      <c r="B271" s="15">
        <v>2023</v>
      </c>
      <c r="C271" s="16">
        <v>10.029999999999999</v>
      </c>
      <c r="D271" s="16">
        <v>13.34</v>
      </c>
    </row>
    <row r="272" spans="1:4" x14ac:dyDescent="0.35">
      <c r="A272" s="14">
        <v>45046</v>
      </c>
      <c r="B272" s="15">
        <v>2023</v>
      </c>
      <c r="C272" s="16">
        <v>10.72</v>
      </c>
      <c r="D272" s="16">
        <v>12.82</v>
      </c>
    </row>
    <row r="273" spans="1:4" x14ac:dyDescent="0.35">
      <c r="A273" s="14">
        <v>45077</v>
      </c>
      <c r="B273" s="15">
        <v>2023</v>
      </c>
      <c r="C273" s="16">
        <v>10.48</v>
      </c>
      <c r="D273" s="16">
        <v>12.36</v>
      </c>
    </row>
    <row r="274" spans="1:4" x14ac:dyDescent="0.35">
      <c r="A274" s="14">
        <v>45107</v>
      </c>
      <c r="B274" s="15">
        <v>2023</v>
      </c>
      <c r="C274" s="16">
        <v>9.34</v>
      </c>
      <c r="D274" s="16">
        <v>12.13</v>
      </c>
    </row>
    <row r="275" spans="1:4" x14ac:dyDescent="0.35">
      <c r="A275" s="14">
        <v>45138</v>
      </c>
      <c r="B275" s="15">
        <v>2023</v>
      </c>
      <c r="C275" s="16">
        <v>9.57</v>
      </c>
      <c r="D275" s="16">
        <v>11.78</v>
      </c>
    </row>
    <row r="276" spans="1:4" x14ac:dyDescent="0.35">
      <c r="A276" s="14">
        <v>45169</v>
      </c>
      <c r="B276" s="15">
        <v>2023</v>
      </c>
      <c r="C276" s="16">
        <v>9.2799999999999994</v>
      </c>
      <c r="D276" s="16">
        <v>11.43</v>
      </c>
    </row>
    <row r="277" spans="1:4" x14ac:dyDescent="0.35">
      <c r="A277" s="14">
        <v>45199</v>
      </c>
      <c r="B277" s="15">
        <v>2023</v>
      </c>
      <c r="C277" s="16">
        <v>9.25</v>
      </c>
      <c r="D277" s="16">
        <v>10.99</v>
      </c>
    </row>
    <row r="278" spans="1:4" x14ac:dyDescent="0.35">
      <c r="A278" s="14">
        <v>45230</v>
      </c>
      <c r="B278" s="15">
        <v>2023</v>
      </c>
      <c r="C278" s="16">
        <v>9.23</v>
      </c>
      <c r="D278" s="16">
        <v>10.48</v>
      </c>
    </row>
    <row r="279" spans="1:4" x14ac:dyDescent="0.35">
      <c r="A279" s="14">
        <v>45260</v>
      </c>
      <c r="B279" s="15">
        <v>2023</v>
      </c>
      <c r="C279" s="16">
        <v>9.01</v>
      </c>
      <c r="D279" s="16">
        <v>10.15</v>
      </c>
    </row>
    <row r="280" spans="1:4" x14ac:dyDescent="0.35">
      <c r="A280" s="14">
        <v>45291</v>
      </c>
      <c r="B280" s="15">
        <v>2023</v>
      </c>
      <c r="C280" s="16">
        <v>10.01</v>
      </c>
      <c r="D280" s="16">
        <v>9.2799999999999994</v>
      </c>
    </row>
    <row r="281" spans="1:4" x14ac:dyDescent="0.35">
      <c r="A281" s="14">
        <v>45322</v>
      </c>
      <c r="B281" s="15">
        <v>2024</v>
      </c>
      <c r="C281" s="16">
        <v>12.66</v>
      </c>
      <c r="D281" s="16">
        <v>8.35</v>
      </c>
    </row>
    <row r="282" spans="1:4" x14ac:dyDescent="0.35">
      <c r="A282" s="14">
        <v>45351</v>
      </c>
      <c r="B282" s="15">
        <v>2024</v>
      </c>
      <c r="C282" s="16">
        <v>11.67</v>
      </c>
      <c r="D282" s="16">
        <v>7.74</v>
      </c>
    </row>
    <row r="283" spans="1:4" x14ac:dyDescent="0.35">
      <c r="A283" s="14">
        <v>45382</v>
      </c>
      <c r="B283" s="15">
        <v>2024</v>
      </c>
      <c r="C283" s="16">
        <v>11.29</v>
      </c>
      <c r="D283" s="16">
        <v>7.36</v>
      </c>
    </row>
    <row r="284" spans="1:4" x14ac:dyDescent="0.35">
      <c r="A284" s="14">
        <v>45412</v>
      </c>
      <c r="B284" s="15">
        <v>2024</v>
      </c>
      <c r="C284" s="16">
        <v>10.65</v>
      </c>
      <c r="D284" s="16">
        <v>7.16</v>
      </c>
    </row>
    <row r="285" spans="1:4" x14ac:dyDescent="0.35">
      <c r="A285" s="14">
        <v>45443</v>
      </c>
      <c r="B285" s="15">
        <v>2024</v>
      </c>
      <c r="C285" s="16">
        <v>10.31</v>
      </c>
      <c r="D285" s="16">
        <v>7.16</v>
      </c>
    </row>
    <row r="286" spans="1:4" x14ac:dyDescent="0.35">
      <c r="A286" s="14">
        <v>45473</v>
      </c>
      <c r="B286" s="15">
        <v>2024</v>
      </c>
      <c r="C286" s="16">
        <v>10.27</v>
      </c>
      <c r="D286" s="16">
        <v>7.18</v>
      </c>
    </row>
    <row r="287" spans="1:4" x14ac:dyDescent="0.35">
      <c r="A287" s="14">
        <v>45504</v>
      </c>
      <c r="B287" s="15">
        <v>2024</v>
      </c>
      <c r="C287" s="16">
        <v>9.92</v>
      </c>
      <c r="D287" s="16">
        <v>6.86</v>
      </c>
    </row>
    <row r="288" spans="1:4" x14ac:dyDescent="0.35">
      <c r="A288" s="14">
        <v>45535</v>
      </c>
      <c r="B288" s="15">
        <v>2024</v>
      </c>
      <c r="C288" s="16">
        <v>9.66</v>
      </c>
      <c r="D288" s="16">
        <v>6.12</v>
      </c>
    </row>
    <row r="289" spans="1:4" x14ac:dyDescent="0.35">
      <c r="A289" s="14">
        <v>45565</v>
      </c>
      <c r="B289" s="15">
        <v>2024</v>
      </c>
      <c r="C289" s="16">
        <v>9.1300000000000008</v>
      </c>
      <c r="D289" s="16">
        <v>5.81</v>
      </c>
    </row>
    <row r="290" spans="1:4" x14ac:dyDescent="0.35">
      <c r="A290" s="14">
        <v>45596</v>
      </c>
      <c r="B290" s="15">
        <v>2024</v>
      </c>
      <c r="C290" s="16">
        <v>9.1300000000000008</v>
      </c>
      <c r="D290" s="16">
        <v>5.41</v>
      </c>
    </row>
    <row r="291" spans="1:4" x14ac:dyDescent="0.35">
      <c r="A291" s="14">
        <v>45626</v>
      </c>
      <c r="B291" s="15">
        <v>2024</v>
      </c>
      <c r="C291" s="16">
        <v>8.17</v>
      </c>
      <c r="D291" s="16">
        <v>5.2</v>
      </c>
    </row>
    <row r="292" spans="1:4" x14ac:dyDescent="0.35">
      <c r="A292" s="14">
        <v>45657</v>
      </c>
      <c r="B292" s="15">
        <v>2024</v>
      </c>
      <c r="C292" s="16">
        <v>9.1300000000000008</v>
      </c>
      <c r="D292" s="16">
        <v>5.2</v>
      </c>
    </row>
    <row r="293" spans="1:4" x14ac:dyDescent="0.35">
      <c r="A293" s="14">
        <v>45688</v>
      </c>
      <c r="B293" s="15">
        <v>2025</v>
      </c>
      <c r="C293" s="16">
        <v>11.64</v>
      </c>
      <c r="D293" s="16">
        <v>5.22</v>
      </c>
    </row>
    <row r="294" spans="1:4" x14ac:dyDescent="0.35">
      <c r="A294" s="14">
        <v>45716</v>
      </c>
      <c r="B294" s="15">
        <v>2025</v>
      </c>
      <c r="C294" s="16">
        <v>10.33</v>
      </c>
      <c r="D294" s="16">
        <v>5.28</v>
      </c>
    </row>
    <row r="295" spans="1:4" x14ac:dyDescent="0.35">
      <c r="A295" s="14">
        <v>45747</v>
      </c>
      <c r="B295" s="15">
        <v>2025</v>
      </c>
      <c r="C295" s="16">
        <v>9.6199999999999992</v>
      </c>
      <c r="D295" s="16">
        <v>5.09</v>
      </c>
    </row>
    <row r="296" spans="1:4" x14ac:dyDescent="0.35">
      <c r="A296" s="14">
        <v>45777</v>
      </c>
      <c r="B296" s="15">
        <v>2025</v>
      </c>
      <c r="C296" s="16">
        <v>8.7799999999999994</v>
      </c>
      <c r="D296" s="16">
        <v>5.16</v>
      </c>
    </row>
    <row r="297" spans="1:4" x14ac:dyDescent="0.35">
      <c r="A297" s="14">
        <v>45808</v>
      </c>
      <c r="B297" s="15">
        <v>2025</v>
      </c>
      <c r="C297" s="16">
        <v>9.0399999999999991</v>
      </c>
      <c r="D297" s="16">
        <v>5.05</v>
      </c>
    </row>
    <row r="298" spans="1:4" x14ac:dyDescent="0.35">
      <c r="A298" s="14">
        <v>45838</v>
      </c>
      <c r="B298" s="15">
        <v>2025</v>
      </c>
      <c r="C298" s="16">
        <v>8.5500000000000007</v>
      </c>
      <c r="D298" s="16">
        <v>4.82</v>
      </c>
    </row>
    <row r="299" spans="1:4" x14ac:dyDescent="0.35">
      <c r="A299" s="14">
        <v>45869</v>
      </c>
      <c r="B299" s="15">
        <v>2025</v>
      </c>
      <c r="C299" s="16">
        <v>8.84</v>
      </c>
      <c r="D299" s="16">
        <v>4.9000000000000004</v>
      </c>
    </row>
    <row r="300" spans="1:4" x14ac:dyDescent="0.35">
      <c r="A300" s="14">
        <v>45900</v>
      </c>
      <c r="B300" s="15">
        <v>2025</v>
      </c>
      <c r="C300" s="16">
        <v>8.6</v>
      </c>
      <c r="D300" s="16">
        <v>5.0999999999999996</v>
      </c>
    </row>
    <row r="301" spans="1:4" x14ac:dyDescent="0.35">
      <c r="A301" s="14">
        <v>45930</v>
      </c>
      <c r="B301" s="15">
        <v>2025</v>
      </c>
      <c r="C301" s="16">
        <v>8.17</v>
      </c>
      <c r="D301" s="16">
        <v>5.18</v>
      </c>
    </row>
    <row r="302" spans="1:4" x14ac:dyDescent="0.35">
      <c r="A302" s="14">
        <v>45961</v>
      </c>
      <c r="B302" s="15">
        <v>2025</v>
      </c>
      <c r="C302" s="16">
        <v>8.1999999999999993</v>
      </c>
      <c r="D302" s="16">
        <v>5.51</v>
      </c>
    </row>
    <row r="303" spans="1:4" x14ac:dyDescent="0.35">
      <c r="A303" s="14">
        <v>45991</v>
      </c>
      <c r="B303" s="15">
        <v>2025</v>
      </c>
      <c r="C303" s="16">
        <v>7.02</v>
      </c>
      <c r="D303" s="16">
        <v>5.3</v>
      </c>
    </row>
    <row r="304" spans="1:4" x14ac:dyDescent="0.35">
      <c r="A304" s="14">
        <v>46022</v>
      </c>
      <c r="B304" s="15">
        <v>2025</v>
      </c>
      <c r="C304" s="16">
        <v>7.98</v>
      </c>
      <c r="D304" s="16">
        <v>5.0999999999999996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showGridLines="0" workbookViewId="0"/>
  </sheetViews>
  <sheetFormatPr defaultRowHeight="14.5" x14ac:dyDescent="0.35"/>
  <cols>
    <col min="1" max="1" width="120" customWidth="1"/>
  </cols>
  <sheetData>
    <row r="1" spans="1:1" ht="18" x14ac:dyDescent="0.35">
      <c r="A1" s="17" t="s">
        <v>21</v>
      </c>
    </row>
    <row r="2" spans="1:1" x14ac:dyDescent="0.35">
      <c r="A2" s="18" t="s">
        <v>22</v>
      </c>
    </row>
    <row r="3" spans="1:1" x14ac:dyDescent="0.35">
      <c r="A3" s="19" t="s">
        <v>23</v>
      </c>
    </row>
    <row r="4" spans="1:1" x14ac:dyDescent="0.35">
      <c r="A4" s="19" t="s">
        <v>24</v>
      </c>
    </row>
    <row r="5" spans="1:1" x14ac:dyDescent="0.35">
      <c r="A5" s="19" t="s">
        <v>25</v>
      </c>
    </row>
    <row r="6" spans="1:1" x14ac:dyDescent="0.35">
      <c r="A6" s="19"/>
    </row>
    <row r="7" spans="1:1" x14ac:dyDescent="0.35">
      <c r="A7" s="18" t="s">
        <v>26</v>
      </c>
    </row>
    <row r="8" spans="1:1" x14ac:dyDescent="0.35">
      <c r="A8" s="19" t="s">
        <v>27</v>
      </c>
    </row>
    <row r="9" spans="1:1" x14ac:dyDescent="0.35">
      <c r="A9" s="19" t="s">
        <v>28</v>
      </c>
    </row>
    <row r="10" spans="1:1" x14ac:dyDescent="0.35">
      <c r="A10" s="19" t="s">
        <v>29</v>
      </c>
    </row>
    <row r="11" spans="1:1" x14ac:dyDescent="0.35">
      <c r="A11" s="19" t="s">
        <v>30</v>
      </c>
    </row>
    <row r="12" spans="1:1" x14ac:dyDescent="0.35">
      <c r="A12" s="19"/>
    </row>
    <row r="13" spans="1:1" x14ac:dyDescent="0.35">
      <c r="A13" s="18" t="s">
        <v>31</v>
      </c>
    </row>
    <row r="14" spans="1:1" ht="25" x14ac:dyDescent="0.35">
      <c r="A14" s="19" t="s">
        <v>32</v>
      </c>
    </row>
    <row r="15" spans="1:1" x14ac:dyDescent="0.35">
      <c r="A15" s="19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Annual</vt:lpstr>
      <vt:lpstr>Monthly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ramirez</cp:lastModifiedBy>
  <dcterms:created xsi:type="dcterms:W3CDTF">2026-10-14T02:23:18Z</dcterms:created>
  <dcterms:modified xsi:type="dcterms:W3CDTF">2026-10-14T02:23:33Z</dcterms:modified>
</cp:coreProperties>
</file>